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ntes" sheetId="1" r:id="rId4"/>
    <sheet state="visible" name="Analisis de Contenido" sheetId="2" r:id="rId5"/>
    <sheet state="visible" name="Analisis Tecnologico" sheetId="3" r:id="rId6"/>
    <sheet state="hidden" name="Metadata" sheetId="4" r:id="rId7"/>
  </sheets>
  <definedNames/>
  <calcPr/>
  <extLst>
    <ext uri="GoogleSheetsCustomDataVersion2">
      <go:sheetsCustomData xmlns:go="http://customooxmlschemas.google.com/" r:id="rId8" roundtripDataChecksum="rE5sZPI6TngZ8dYA6I69ZR8Ek0scRc+mdo5bBQmKQPM="/>
    </ext>
  </extLst>
</workbook>
</file>

<file path=xl/sharedStrings.xml><?xml version="1.0" encoding="utf-8"?>
<sst xmlns="http://schemas.openxmlformats.org/spreadsheetml/2006/main" count="601" uniqueCount="286">
  <si>
    <t>Codigo-Nombre</t>
  </si>
  <si>
    <t>17 - Área Social Humanística 1</t>
  </si>
  <si>
    <t>101 - Área Matemática Básica 1</t>
  </si>
  <si>
    <t>5 - Técnicas de Estudio e Investigación</t>
  </si>
  <si>
    <t>39 - Deportes 1</t>
  </si>
  <si>
    <t>6 - Idioma Tecnico 1</t>
  </si>
  <si>
    <t>19 - Área Social Humanística 2</t>
  </si>
  <si>
    <t>103 - Área Matemática Básica 2</t>
  </si>
  <si>
    <t>Comparación con referentes internacionales</t>
  </si>
  <si>
    <t>960 - Matemática Para Computación 1</t>
  </si>
  <si>
    <t>147 - Física Básica</t>
  </si>
  <si>
    <t>40 - Deportes 2</t>
  </si>
  <si>
    <t>8 - Idioma Técnico 2</t>
  </si>
  <si>
    <t>795 - Logica de Sitemas</t>
  </si>
  <si>
    <t>962 - Matemática Para Computación 2</t>
  </si>
  <si>
    <t>770 - Introducción a ala programación y computación 1</t>
  </si>
  <si>
    <t>107 - Área Matemática Intermedia 1</t>
  </si>
  <si>
    <t>150 - Fisica 1</t>
  </si>
  <si>
    <t>1 - Ética Profesional</t>
  </si>
  <si>
    <t>9 - Idioma Técnico 3</t>
  </si>
  <si>
    <t>796 - Lenguajes Formales y de Programación</t>
  </si>
  <si>
    <t>771 - Introducción a la Programación y Computación 2</t>
  </si>
  <si>
    <t>112 - Área Matemática Intermedia 2</t>
  </si>
  <si>
    <t>114 - Área Matemática Intermedia 3</t>
  </si>
  <si>
    <t>152 - Física 2</t>
  </si>
  <si>
    <t>10 - Lógica</t>
  </si>
  <si>
    <t>11 - Idioma Técnico 4</t>
  </si>
  <si>
    <t>2025 - Prácticas Iniciales</t>
  </si>
  <si>
    <t>732 - Estadística 1</t>
  </si>
  <si>
    <t>777 - Organización de Lenguajes y Compiladores 1</t>
  </si>
  <si>
    <t>964 - Organización Computacional</t>
  </si>
  <si>
    <t>772 - Estructuras de Datos</t>
  </si>
  <si>
    <t>116 - Matemática Aplicada 3</t>
  </si>
  <si>
    <t>118 - Matemática Aplicada 1</t>
  </si>
  <si>
    <t>18 - Filosofía de la Ciencia</t>
  </si>
  <si>
    <t>Identificación de referentes internacionales</t>
  </si>
  <si>
    <t>722 - Teoría de Sistemas 1</t>
  </si>
  <si>
    <t>601 - Investigación de Operaciones 1</t>
  </si>
  <si>
    <t>14 - Economía</t>
  </si>
  <si>
    <t>781 - Organización de Lenguajes y Compiladores 2</t>
  </si>
  <si>
    <t>778 - Arquitectura de Computadoras y Ensambladores 1</t>
  </si>
  <si>
    <t>773 - Manejo e Implementación de Archivos</t>
  </si>
  <si>
    <t>122 - Matemática Aplicada 4</t>
  </si>
  <si>
    <t>120 - Matemática Aplicada 2</t>
  </si>
  <si>
    <t>200 - Ingeniería Eléctrica 1</t>
  </si>
  <si>
    <t>724 - Teoría de Sistemas 2</t>
  </si>
  <si>
    <t>603 - Investigación de Operaciones 2</t>
  </si>
  <si>
    <t>734 - Estadística 2</t>
  </si>
  <si>
    <t>281 - Sistemas Operativos 1</t>
  </si>
  <si>
    <t>779 - Arquitectura de Computadoras y Ensambladores 2</t>
  </si>
  <si>
    <t>970 - Redes de Computadoras 1</t>
  </si>
  <si>
    <t>774 - Sistemas de Bases de Datos 1</t>
  </si>
  <si>
    <t>2036 - Prácticas Intermedias</t>
  </si>
  <si>
    <t>285 - Sistemas Operativos 2</t>
  </si>
  <si>
    <t>Nombre del Curso</t>
  </si>
  <si>
    <t>975 - Redes de Computadoras 2</t>
  </si>
  <si>
    <t>775 - Sistemas de Bases de Datos 2</t>
  </si>
  <si>
    <t>283 - Análisis y Diseño de Sistemas 1</t>
  </si>
  <si>
    <t>797 - Seminario de Sistemas 1</t>
  </si>
  <si>
    <t>700 - Ingeniería Económica 1</t>
  </si>
  <si>
    <t>729 - Modelación y Simulación 1</t>
  </si>
  <si>
    <t>786 - Sistemas Organizacionales y Gerenciales 1</t>
  </si>
  <si>
    <t>972 - Inteligencia Artificial 1</t>
  </si>
  <si>
    <t>966 - Seguridad y Auditoría de Redes de Computadoras</t>
  </si>
  <si>
    <t>785 - Análisis y Diseño de Sistemas 2</t>
  </si>
  <si>
    <t>798 - Seminario de Sistemas 2</t>
  </si>
  <si>
    <t>788 - Sistemas Aplicados 1</t>
  </si>
  <si>
    <t>776 - Bases de Datos Avanzadas</t>
  </si>
  <si>
    <t>2009 - Prácticas Finales Ingeniería Ciencias y Sistemas</t>
  </si>
  <si>
    <t>720 - Modelación y Simulación 2</t>
  </si>
  <si>
    <t>787 - Sistemas Organizacionales y Gerenciales 2</t>
  </si>
  <si>
    <t>790 - Emprendedores de Negocios Informáticos</t>
  </si>
  <si>
    <t>968 - Inteligencia Artificial 2</t>
  </si>
  <si>
    <t>974 - Redes de Nueva Generación</t>
  </si>
  <si>
    <t>780 - Software Avanzado</t>
  </si>
  <si>
    <t>789 - Sistemas Aplicados 2</t>
  </si>
  <si>
    <t>735 - Auditoría de Proyectos de Software</t>
  </si>
  <si>
    <t>7999 - Seminario de Investigación EPS Sistemas</t>
  </si>
  <si>
    <t>799 - Seminario de Investigación</t>
  </si>
  <si>
    <t>90 - Programacion de Computadoras 1</t>
  </si>
  <si>
    <t>92 - Programacion de Computadoras 2</t>
  </si>
  <si>
    <t>667 - Programacion Comercial 1</t>
  </si>
  <si>
    <t>Semestre que aplica</t>
  </si>
  <si>
    <t>768 - Algoritmos</t>
  </si>
  <si>
    <t>0089 - Comunicación Asertiva</t>
  </si>
  <si>
    <t>Segundo Semestre 2026</t>
  </si>
  <si>
    <t>* Si el tema del curso no esta en el referente dejala la casilla en blanco</t>
  </si>
  <si>
    <t>1. Universidad Refente</t>
  </si>
  <si>
    <t xml:space="preserve">**Este ejercicio de analisis de servira para mejorar el laboratorio para el siguiente semestre.   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</si>
  <si>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</si>
  <si>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Tecnologias y/o Herramientas actuales en el laboratorio</t>
  </si>
  <si>
    <t>Nombre de la Universidad</t>
  </si>
  <si>
    <t>Tecnologias y/o herramientas en Tendencia</t>
  </si>
  <si>
    <t>MIT(EECS)</t>
  </si>
  <si>
    <t>c#</t>
  </si>
  <si>
    <t>Pais</t>
  </si>
  <si>
    <t>Estados Unidos</t>
  </si>
  <si>
    <t>python</t>
  </si>
  <si>
    <t>Introduction to Computational Thinking and Data Science</t>
  </si>
  <si>
    <t>Git / GitHub</t>
  </si>
  <si>
    <t>GitHub / GitHub Copilot</t>
  </si>
  <si>
    <t>Fuente de Información</t>
  </si>
  <si>
    <t>Visual Studio Code</t>
  </si>
  <si>
    <t>Universidad</t>
  </si>
  <si>
    <t>Introduction to Computational Thinking and Data Science | Electrical Engineering and Computer Science | MIT OpenCourseWare</t>
  </si>
  <si>
    <t>VS Code + extensiones IA</t>
  </si>
  <si>
    <t>Flask</t>
  </si>
  <si>
    <t>FastAPI (desarrollo web python)</t>
  </si>
  <si>
    <t>Django</t>
  </si>
  <si>
    <t>Estandar</t>
  </si>
  <si>
    <t>React.js (frontend moderno)</t>
  </si>
  <si>
    <t>HTML5 / CSS</t>
  </si>
  <si>
    <t>ChatGPT API / LLM Integration</t>
  </si>
  <si>
    <t>Laboratorio Actual ( Aqui van los temas impartidos en el presente semestre)</t>
  </si>
  <si>
    <t>XML / Graphviz</t>
  </si>
  <si>
    <t>GraphQL (APIs modernas)</t>
  </si>
  <si>
    <t>No.</t>
  </si>
  <si>
    <t>Contenido de la Universidad Referente</t>
  </si>
  <si>
    <t>Consulta con el catedratico de los hallazgos y si debes hacer algun cambio en tecnologias y/o herramientas para el proximo semestre</t>
  </si>
  <si>
    <t>ABET — Criteria for Accrediting Computing Programs (CAC)</t>
  </si>
  <si>
    <t>Introduction and Optimization Problems (Knapsack, Greedy Algorithms)</t>
  </si>
  <si>
    <t>Competencia</t>
  </si>
  <si>
    <t>Unidad</t>
  </si>
  <si>
    <t>Tema</t>
  </si>
  <si>
    <t>Optimization Problems (Dynamic Programming, Decision Trees)</t>
  </si>
  <si>
    <t>SubTema</t>
  </si>
  <si>
    <t>Contenido</t>
  </si>
  <si>
    <t xml:space="preserve">Aplica estructuras de control y funciones mediante programación básica en c#. para desarrollar algoritmos que resuelvan problemas. </t>
  </si>
  <si>
    <t>Graph-theoretic Models (Nodes, Edges, DFS, BFS)</t>
  </si>
  <si>
    <t>1. Introducción a c#</t>
  </si>
  <si>
    <t>Introducción y Presentación</t>
  </si>
  <si>
    <t>Instalación de c# 3.X.X</t>
  </si>
  <si>
    <t>Stochastic Thinking (Probability, Random Variables)</t>
  </si>
  <si>
    <t>Random Walks (Simulations, Drunk Walk Model)</t>
  </si>
  <si>
    <t>Monte Carlo Simulation (Law of Large Numbers)</t>
  </si>
  <si>
    <t>Criterion 5: Integration of software development practices and version control</t>
  </si>
  <si>
    <t>Confidence Intervals and Normal Distributions</t>
  </si>
  <si>
    <t>Instalación del entorno de desarrollo</t>
  </si>
  <si>
    <t>Sampling and Standard Error (Central Limit Theorem)</t>
  </si>
  <si>
    <t>Criterion 7: Facilities — hardware, software and laboratory environments</t>
  </si>
  <si>
    <t>Understanding Experimental Data (Curve Fitting, Linear Regression)</t>
  </si>
  <si>
    <t>Variables, Expresiones y sentencias</t>
  </si>
  <si>
    <t>Introduction to Machine Learning (Feature Vectors, Distance Metrics)</t>
  </si>
  <si>
    <t>Criterion 3: Use of current tools, languages, and computing environments</t>
  </si>
  <si>
    <t>Ejecuciones condicionales</t>
  </si>
  <si>
    <t>2. Estandar Internacional</t>
  </si>
  <si>
    <t>Criterion 3: Programming skills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</si>
  <si>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</si>
  <si>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Funciones</t>
  </si>
  <si>
    <t>Criterion 3: Algorithm design</t>
  </si>
  <si>
    <t>Nombre del Estandar</t>
  </si>
  <si>
    <t>Iteración</t>
  </si>
  <si>
    <t>Sección , Capitulo , etc,</t>
  </si>
  <si>
    <t>General Criteria — Criterion 1: Students, Criterion 3: Student Outcomes, Criterion 5: Curriculum, Criterion 7: Facilities</t>
  </si>
  <si>
    <t>Strings</t>
  </si>
  <si>
    <t>Funte de Información</t>
  </si>
  <si>
    <t>https://www.abet.org/wp-content/uploads/2023/05/2024-2025_CAC_Criteria.pdf</t>
  </si>
  <si>
    <t>Programación Orientada a Objetos en c#</t>
  </si>
  <si>
    <t>Introducción al paradigma de POO</t>
  </si>
  <si>
    <t>Criterion 3: Software design</t>
  </si>
  <si>
    <t>Clases y Objetos(Métodos y Atributos)</t>
  </si>
  <si>
    <t>Pilares de la POO (Herencia, Abstracción, Polimosfismo, Encapsulamiento)</t>
  </si>
  <si>
    <t xml:space="preserve">Aplica técnicas de control de versiones, como Git Flow, branching, merging y versionamiento semántico en GIT para asegurar la calidad del software mediante un historial de cambios estructurado. </t>
  </si>
  <si>
    <t>2. Manejo de versiones</t>
  </si>
  <si>
    <t>Git Workflow</t>
  </si>
  <si>
    <t>Introducción a GIT y Control de versiones</t>
  </si>
  <si>
    <t>Criterion 5: Software development practices</t>
  </si>
  <si>
    <t>Fundamentos de control de versiones con Git y su Configuracion Inicial para el versionamiento de proyectos</t>
  </si>
  <si>
    <t>Contenido del Estandar</t>
  </si>
  <si>
    <t>Git Flow: Implementación de Troncales y Ramas</t>
  </si>
  <si>
    <t>Criterion 1: Students — admissions, progression, graduation requirements</t>
  </si>
  <si>
    <t>Branching, Merging y Utilización de Etiquetas (Tags) en Git</t>
  </si>
  <si>
    <t>Criterion 3: Student Outcomes — programming, algorithms, and data structures skills</t>
  </si>
  <si>
    <t xml:space="preserve">Analiza actividades en archivos XML utilizando técnicas de lectura estructurada para identificar y extraer información relevante.  </t>
  </si>
  <si>
    <t>3. Procesamiento de datos XML</t>
  </si>
  <si>
    <t>Criterion 3: Problem analysis and software design competencies</t>
  </si>
  <si>
    <t>Lectura de actividades y XML</t>
  </si>
  <si>
    <t>Introducción a bases de XML</t>
  </si>
  <si>
    <t>Criterion 3: Data representation skills</t>
  </si>
  <si>
    <t>Procesamiento de datos con libreria DOM</t>
  </si>
  <si>
    <t>Criterion 3: Communication skills in technical and non-technical contexts</t>
  </si>
  <si>
    <t>Procesamiento de datos con libreria ElemntTree</t>
  </si>
  <si>
    <t>Criterion 5: Curriculum — computing topics, math, and applied sciences</t>
  </si>
  <si>
    <t>Introduccion Xpath</t>
  </si>
  <si>
    <t>Procesamiento de datos con libreria Xpath</t>
  </si>
  <si>
    <t>Criterion 7: Computing resources adequate for student learning outcomes</t>
  </si>
  <si>
    <t>Lectura XML</t>
  </si>
  <si>
    <t>Criterion 8: Program educational objectives aligned with institutional mission</t>
  </si>
  <si>
    <t>Escritura XML</t>
  </si>
  <si>
    <t>3. Tecnologias y/o herramientas en Tendencia</t>
  </si>
  <si>
    <t>*Investiga las tecnologias y/o herramientas que estan en tendencia actualmente a nivel internacional, como por ejemplo en cuadrante de gartner</t>
  </si>
  <si>
    <t xml:space="preserve">Aplica tuplas, listas, diccionarios nativos de c# en programas funcionales para almacenar y manipular conjunto de datos </t>
  </si>
  <si>
    <t>4. Estructuras de Datos</t>
  </si>
  <si>
    <t>Tuplas, Listas y Diccionarios Nativos de c#</t>
  </si>
  <si>
    <t>Nombre</t>
  </si>
  <si>
    <t>Introduccion estructuras de datos</t>
  </si>
  <si>
    <t>Criterion 3: Data structures</t>
  </si>
  <si>
    <t>Link de referencia</t>
  </si>
  <si>
    <t xml:space="preserve">Tuplas, Listas y Diccionarios Nativos de c# </t>
  </si>
  <si>
    <t>Listas nativas de c#</t>
  </si>
  <si>
    <t>https://www.c#.org/</t>
  </si>
  <si>
    <t>Ficheros</t>
  </si>
  <si>
    <t>Diccionarios</t>
  </si>
  <si>
    <t>Tuplas</t>
  </si>
  <si>
    <t>https://github.com/features/copilot</t>
  </si>
  <si>
    <t>Expresiones regulares</t>
  </si>
  <si>
    <t xml:space="preserve">Crea estructuras de datos dinámicas (listas enlazadas, doblemente enlazadas y circulares) mediante POO en c# e integrado datos desde archivos XML para implementar sistemas de gestión de datos eficientes que manejen relaciones complejas </t>
  </si>
  <si>
    <t>Introducción a  TDA's</t>
  </si>
  <si>
    <t xml:space="preserve">TDA </t>
  </si>
  <si>
    <t>Jupyter Notebooks</t>
  </si>
  <si>
    <t>Concepto Lista enlazada simple</t>
  </si>
  <si>
    <t>https://jupyter.org/</t>
  </si>
  <si>
    <t>Operaciones en lista enlazada simple</t>
  </si>
  <si>
    <t>Concepto Lista enlazada doble</t>
  </si>
  <si>
    <t>Docker (containerización)</t>
  </si>
  <si>
    <t>Operaciones en lista enlazada doble</t>
  </si>
  <si>
    <t>https://www.docker.com/</t>
  </si>
  <si>
    <t>Concepto de lista circular</t>
  </si>
  <si>
    <t>TDA</t>
  </si>
  <si>
    <t>Operaciones en listas circulares</t>
  </si>
  <si>
    <t>Diferencia entre lista circular y no circular</t>
  </si>
  <si>
    <t>TDA y graphviz</t>
  </si>
  <si>
    <t>Concepto de lista doblemente circular</t>
  </si>
  <si>
    <t>https://fastapi.tiangolo.com/</t>
  </si>
  <si>
    <t>Operaciones básicas en lista doblemente circular</t>
  </si>
  <si>
    <t>Ventajas y comparación frente a otras listas</t>
  </si>
  <si>
    <t>Qué es Graphviz</t>
  </si>
  <si>
    <t>https://react.dev/</t>
  </si>
  <si>
    <t>Criterion 7: Adequate computing tools</t>
  </si>
  <si>
    <t>PostgreSQL / SQLite (bases de datos)</t>
  </si>
  <si>
    <t>Cómo se usa Graphviz para TDA's</t>
  </si>
  <si>
    <t>https://www.postgresql.org/</t>
  </si>
  <si>
    <t>Graficar TDA's con graphviz</t>
  </si>
  <si>
    <t xml:space="preserve">Crea páginas Web Básicas utilizando HTML5 y CSS para estructurar y dar estili a componentes web. </t>
  </si>
  <si>
    <t>5. HTML5 y CSS</t>
  </si>
  <si>
    <t>Introducción a HTML, CSS, JS</t>
  </si>
  <si>
    <t>Introducción a HTML5</t>
  </si>
  <si>
    <t>Criterion 5: Breadth of computing topics</t>
  </si>
  <si>
    <t>. Estructura básica de HTML5</t>
  </si>
  <si>
    <t>https://platform.openai.com/docs</t>
  </si>
  <si>
    <t>Componentes básicos de HTML5</t>
  </si>
  <si>
    <t>Introducción a CSS</t>
  </si>
  <si>
    <t>. Estructura básica de CSS</t>
  </si>
  <si>
    <t>https://code.visualstudio.com/</t>
  </si>
  <si>
    <t>Componentes básicos de CSS</t>
  </si>
  <si>
    <t>Ejemplos prácticos</t>
  </si>
  <si>
    <t xml:space="preserve">Desarrolla aplicaciones web con Flask o Django en c# para soportar arquitecturas backend y frontend bien definidas. </t>
  </si>
  <si>
    <t>6. Entorno para desarrollo Web en c#</t>
  </si>
  <si>
    <t>Introducción a servidores web y Flask</t>
  </si>
  <si>
    <t>Entorno para desarrollo Web en c#</t>
  </si>
  <si>
    <t>Criterion 5: Software development tools</t>
  </si>
  <si>
    <t>https://graphql.org/</t>
  </si>
  <si>
    <t>Introducción a Flask y Configuración del Entorno</t>
  </si>
  <si>
    <t>Rutas y Vistas</t>
  </si>
  <si>
    <t>Plantillas con Jinja</t>
  </si>
  <si>
    <t>Manejo de Formularios y Datos de Usuario</t>
  </si>
  <si>
    <t>Instalación y Configuración en Django</t>
  </si>
  <si>
    <t>Instalación y configuracion</t>
  </si>
  <si>
    <t>Apps en Django</t>
  </si>
  <si>
    <t>Modelos en Django</t>
  </si>
  <si>
    <t>Creando un módulo</t>
  </si>
  <si>
    <t>Creación de Vistas y Uso de Plantillas en Django</t>
  </si>
  <si>
    <t>Creando Vistas</t>
  </si>
  <si>
    <t>Panel de administración de Django</t>
  </si>
  <si>
    <t>Templates  y archivos estátitcos en Django</t>
  </si>
  <si>
    <t xml:space="preserve">Implementa comunicación cliente-servidor mediante protocolos HTTP/HTTPS para desarrollar APIs seguras y eficientes </t>
  </si>
  <si>
    <t>7. JavaScript Object Notation (JSON)</t>
  </si>
  <si>
    <t>Estructura y Manejo de Datos JSON</t>
  </si>
  <si>
    <t>Sintaxis de JSON, JSON vs XML</t>
  </si>
  <si>
    <t>Tipos de datos JSON</t>
  </si>
  <si>
    <t>JSON Parse, Stringify, Objects, Arrays</t>
  </si>
  <si>
    <t>8. Acceso a datos web</t>
  </si>
  <si>
    <t>Acceso y Manejo de Datos Web mediante HTTP en c#</t>
  </si>
  <si>
    <t>Internet como origen de datos</t>
  </si>
  <si>
    <t>Criterion 3: Communication via APIs</t>
  </si>
  <si>
    <t>Protocolo HTTP y Códigos de error</t>
  </si>
  <si>
    <t>Peticiones HTTP en c# y librería en c# para realizar peticiones HTTP</t>
  </si>
  <si>
    <t>Lectura de archivos binarios mediante peticiones HTTP y Análisis de XML en Peticiones</t>
  </si>
  <si>
    <t>Interacción y Seguridad en APIs y Datos Web</t>
  </si>
  <si>
    <t>Desplazamiento a través de los nodos</t>
  </si>
  <si>
    <t>Análisis JSON en Peticiones</t>
  </si>
  <si>
    <t>Interfaces de programación de aplicaciones</t>
  </si>
  <si>
    <t>API</t>
  </si>
  <si>
    <t>Seguridad y uso de API’s</t>
  </si>
  <si>
    <t>Autenticación y autorización en API's</t>
  </si>
  <si>
    <t>Manejo de respuestas asíncronas y promesas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</si>
</sst>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/>
    <font>
      <color rgb="FFFFFFFF"/>
      <name val="Arial"/>
    </font>
    <font>
      <b/>
      <sz val="12.0"/>
      <color theme="1"/>
      <name val="Arial"/>
    </font>
    <font>
      <color rgb="FFCCCCCC"/>
      <name val="Arial"/>
    </font>
    <font>
      <b/>
      <sz val="12.0"/>
      <color rgb="FF4285F4"/>
      <name val="Arial"/>
    </font>
    <font>
      <color rgb="FFB7B7B7"/>
      <name val="Arial"/>
    </font>
    <font>
      <color rgb="FF999999"/>
      <name val="Arial"/>
    </font>
    <font>
      <color rgb="FF000000"/>
      <name val="Arial"/>
    </font>
    <font>
      <u/>
      <color rgb="FF1155CC"/>
      <name val="Arial"/>
    </font>
    <font>
      <b/>
      <color theme="1"/>
      <name val="Arial"/>
    </font>
    <font>
      <b/>
      <color rgb="FF4A86E8"/>
      <name val="Arial"/>
    </font>
    <font>
      <u/>
      <color rgb="FF0000FF"/>
      <name val="Arial"/>
    </font>
    <font>
      <u/>
      <color rgb="FF000000"/>
      <name val="Arial"/>
    </font>
    <font>
      <u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shrinkToFit="0" vertical="bottom" wrapText="1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4" fillId="2" fontId="5" numFmtId="0" xfId="0" applyAlignment="1" applyBorder="1" applyFill="1" applyFont="1">
      <alignment shrinkToFit="0" vertical="bottom" wrapText="1"/>
    </xf>
    <xf borderId="5" fillId="0" fontId="1" numFmtId="0" xfId="0" applyAlignment="1" applyBorder="1" applyFont="1">
      <alignment shrinkToFit="0" vertical="bottom" wrapText="1"/>
    </xf>
    <xf borderId="5" fillId="0" fontId="1" numFmtId="0" xfId="0" applyAlignment="1" applyBorder="1" applyFont="1">
      <alignment readingOrder="0" vertical="bottom"/>
    </xf>
    <xf borderId="6" fillId="0" fontId="3" numFmtId="0" xfId="0" applyBorder="1" applyFont="1"/>
    <xf borderId="7" fillId="0" fontId="3" numFmtId="0" xfId="0" applyBorder="1" applyFont="1"/>
    <xf borderId="5" fillId="0" fontId="1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3" fontId="1" numFmtId="0" xfId="0" applyAlignment="1" applyFill="1" applyFont="1">
      <alignment shrinkToFit="0" wrapText="1"/>
    </xf>
    <xf borderId="4" fillId="2" fontId="1" numFmtId="0" xfId="0" applyAlignment="1" applyBorder="1" applyFill="1" applyFont="1">
      <alignment shrinkToFit="0" vertical="bottom" wrapText="1"/>
    </xf>
    <xf borderId="0" fillId="3" fontId="1" numFmtId="0" xfId="0" applyFill="1" applyFont="1"/>
    <xf borderId="0" fillId="0" fontId="1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/>
    </xf>
    <xf borderId="4" fillId="4" fontId="1" numFmtId="0" xfId="0" applyAlignment="1" applyBorder="1" applyFill="1" applyFont="1">
      <alignment horizontal="center" shrinkToFit="0" vertical="bottom" wrapText="1"/>
    </xf>
    <xf borderId="5" fillId="0" fontId="11" numFmtId="0" xfId="0" applyAlignment="1" applyBorder="1" applyFont="1">
      <alignment readingOrder="0" vertical="bottom"/>
    </xf>
    <xf borderId="5" fillId="2" fontId="1" numFmtId="0" xfId="0" applyAlignment="1" applyBorder="1" applyFill="1" applyFont="1">
      <alignment shrinkToFit="0" vertical="bottom" wrapText="1"/>
    </xf>
    <xf borderId="5" fillId="2" fontId="12" numFmtId="0" xfId="0" applyAlignment="1" applyBorder="1" applyFill="1" applyFont="1">
      <alignment vertical="bottom"/>
    </xf>
    <xf borderId="0" fillId="0" fontId="1" numFmtId="0" xfId="0" applyFont="1"/>
    <xf borderId="0" fillId="0" fontId="13" numFmtId="0" xfId="0" applyFont="1"/>
    <xf borderId="4" fillId="0" fontId="10" numFmtId="0" xfId="0" applyAlignment="1" applyBorder="1" applyFont="1">
      <alignment horizontal="right" readingOrder="0" vertical="bottom"/>
    </xf>
    <xf borderId="4" fillId="2" fontId="10" numFmtId="0" xfId="0" applyAlignment="1" applyBorder="1" applyFill="1" applyFont="1">
      <alignment readingOrder="0" vertical="bottom"/>
    </xf>
    <xf borderId="5" fillId="0" fontId="10" numFmtId="0" xfId="0" applyAlignment="1" applyBorder="1" applyFont="1">
      <alignment readingOrder="0" vertical="bottom"/>
    </xf>
    <xf borderId="4" fillId="0" fontId="10" numFmtId="0" xfId="0" applyAlignment="1" applyBorder="1" applyFon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1"/>
    </xf>
    <xf borderId="4" fillId="0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readingOrder="0"/>
    </xf>
    <xf borderId="4" fillId="0" fontId="10" numFmtId="0" xfId="0" applyAlignment="1" applyBorder="1" applyFont="1">
      <alignment readingOrder="0" shrinkToFit="0" vertical="bottom" wrapText="0"/>
    </xf>
    <xf borderId="4" fillId="0" fontId="1" numFmtId="0" xfId="0" applyBorder="1" applyFont="1"/>
    <xf borderId="5" fillId="0" fontId="14" numFmtId="0" xfId="0" applyAlignment="1" applyBorder="1" applyFont="1">
      <alignment readingOrder="0" vertical="bottom"/>
    </xf>
    <xf borderId="0" fillId="0" fontId="8" numFmtId="0" xfId="0" applyFont="1"/>
    <xf borderId="4" fillId="2" fontId="1" numFmtId="0" xfId="0" applyBorder="1" applyFill="1" applyFont="1"/>
    <xf borderId="4" fillId="0" fontId="15" numFmtId="0" xfId="0" applyAlignment="1" applyBorder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4" fillId="0" fontId="16" numFmtId="0" xfId="0" applyAlignment="1" applyBorder="1" applyFont="1">
      <alignment readingOrder="0" shrinkToFit="0" vertical="bottom" wrapText="0"/>
    </xf>
    <xf borderId="4" fillId="0" fontId="10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bet.org/wp-content/uploads/2023/05/2024-2025_CAC_Criteria.pdf" TargetMode="External"/><Relationship Id="rId2" Type="http://schemas.openxmlformats.org/officeDocument/2006/relationships/hyperlink" Target="https://www.python.org/" TargetMode="External"/><Relationship Id="rId3" Type="http://schemas.openxmlformats.org/officeDocument/2006/relationships/hyperlink" Target="https://github.com/features/copilot" TargetMode="External"/><Relationship Id="rId4" Type="http://schemas.openxmlformats.org/officeDocument/2006/relationships/hyperlink" Target="https://jupyter.org/" TargetMode="External"/><Relationship Id="rId11" Type="http://schemas.openxmlformats.org/officeDocument/2006/relationships/hyperlink" Target="https://graphql.org/" TargetMode="External"/><Relationship Id="rId10" Type="http://schemas.openxmlformats.org/officeDocument/2006/relationships/hyperlink" Target="https://code.visualstudio.com/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platform.openai.com/docs" TargetMode="External"/><Relationship Id="rId5" Type="http://schemas.openxmlformats.org/officeDocument/2006/relationships/hyperlink" Target="https://www.docker.com/" TargetMode="External"/><Relationship Id="rId6" Type="http://schemas.openxmlformats.org/officeDocument/2006/relationships/hyperlink" Target="https://fastapi.tiangolo.com/" TargetMode="External"/><Relationship Id="rId7" Type="http://schemas.openxmlformats.org/officeDocument/2006/relationships/hyperlink" Target="https://react.dev/" TargetMode="External"/><Relationship Id="rId8" Type="http://schemas.openxmlformats.org/officeDocument/2006/relationships/hyperlink" Target="https://www.postgresql.org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32.13"/>
  </cols>
  <sheetData>
    <row r="1" ht="15.75" customHeight="1">
      <c r="A1" s="1"/>
      <c r="B1" s="5" t="s">
        <v>35</v>
      </c>
    </row>
    <row r="2" ht="15.75" customHeight="1">
      <c r="A2" s="1"/>
      <c r="B2" s="1"/>
      <c r="C2" s="1"/>
      <c r="D2" s="1"/>
      <c r="E2" s="1"/>
      <c r="F2" s="1"/>
      <c r="G2" s="1"/>
    </row>
    <row r="3" ht="15.75" customHeight="1">
      <c r="A3" s="1"/>
      <c r="B3" s="7" t="s">
        <v>54</v>
      </c>
      <c r="C3" s="9" t="s">
        <v>21</v>
      </c>
      <c r="D3" s="10"/>
      <c r="E3" s="10"/>
      <c r="F3" s="10"/>
      <c r="G3" s="11"/>
    </row>
    <row r="4" ht="15.75" customHeight="1">
      <c r="A4" s="1"/>
      <c r="B4" s="7" t="s">
        <v>82</v>
      </c>
      <c r="C4" s="12" t="s">
        <v>85</v>
      </c>
      <c r="D4" s="10"/>
      <c r="E4" s="10"/>
      <c r="F4" s="10"/>
      <c r="G4" s="11"/>
    </row>
    <row r="5" ht="15.75" customHeight="1">
      <c r="A5" s="1"/>
      <c r="B5" s="1"/>
      <c r="C5" s="1"/>
      <c r="D5" s="1"/>
      <c r="E5" s="1"/>
      <c r="F5" s="1"/>
      <c r="G5" s="1"/>
    </row>
    <row r="6" ht="15.75" customHeight="1">
      <c r="A6" s="1"/>
      <c r="B6" s="14" t="s">
        <v>87</v>
      </c>
      <c r="C6" s="1"/>
      <c r="D6" s="1"/>
      <c r="E6" s="1"/>
      <c r="F6" s="1"/>
      <c r="G6" s="1"/>
    </row>
    <row r="7">
      <c r="A7" s="1"/>
      <c r="B7" s="16" t="s">
        <v>89</v>
      </c>
    </row>
    <row r="8" ht="15.75" customHeight="1">
      <c r="A8" s="1"/>
      <c r="B8" s="1"/>
      <c r="C8" s="1"/>
      <c r="D8" s="1"/>
      <c r="E8" s="1"/>
      <c r="F8" s="1"/>
      <c r="G8" s="1"/>
    </row>
    <row r="9">
      <c r="A9" s="1"/>
      <c r="B9" s="18" t="s">
        <v>91</v>
      </c>
      <c r="C9" s="9" t="s">
        <v>93</v>
      </c>
      <c r="D9" s="10"/>
      <c r="E9" s="10"/>
      <c r="F9" s="10"/>
      <c r="G9" s="11"/>
    </row>
    <row r="10" ht="15.75" customHeight="1">
      <c r="A10" s="1"/>
      <c r="B10" s="18" t="s">
        <v>95</v>
      </c>
      <c r="C10" s="9" t="s">
        <v>96</v>
      </c>
      <c r="D10" s="10"/>
      <c r="E10" s="10"/>
      <c r="F10" s="10"/>
      <c r="G10" s="11"/>
    </row>
    <row r="11">
      <c r="A11" s="1"/>
      <c r="B11" s="18" t="s">
        <v>54</v>
      </c>
      <c r="C11" s="9" t="s">
        <v>98</v>
      </c>
      <c r="D11" s="10"/>
      <c r="E11" s="10"/>
      <c r="F11" s="10"/>
      <c r="G11" s="11"/>
    </row>
    <row r="12">
      <c r="A12" s="1"/>
      <c r="B12" s="18" t="s">
        <v>101</v>
      </c>
      <c r="C12" s="24" t="s">
        <v>104</v>
      </c>
      <c r="D12" s="10"/>
      <c r="E12" s="10"/>
      <c r="F12" s="10"/>
      <c r="G12" s="11"/>
    </row>
    <row r="13" ht="15.75" customHeight="1">
      <c r="A13" s="1"/>
      <c r="B13" s="1"/>
      <c r="C13" s="1"/>
      <c r="D13" s="1"/>
      <c r="E13" s="1"/>
      <c r="F13" s="1"/>
      <c r="G13" s="1"/>
    </row>
    <row r="14" ht="15.75" customHeight="1">
      <c r="A14" s="1"/>
      <c r="B14" s="26" t="s">
        <v>116</v>
      </c>
      <c r="C14" s="26" t="s">
        <v>117</v>
      </c>
      <c r="D14" s="10"/>
      <c r="E14" s="10"/>
      <c r="F14" s="10"/>
      <c r="G14" s="11"/>
    </row>
    <row r="15" ht="15.75" customHeight="1">
      <c r="A15" s="1"/>
      <c r="B15" s="29">
        <v>1.0</v>
      </c>
      <c r="C15" s="31" t="s">
        <v>120</v>
      </c>
      <c r="D15" s="10"/>
      <c r="E15" s="10"/>
      <c r="F15" s="10"/>
      <c r="G15" s="11"/>
    </row>
    <row r="16" ht="15.75" customHeight="1">
      <c r="A16" s="1"/>
      <c r="B16" s="29">
        <v>2.0</v>
      </c>
      <c r="C16" s="31" t="s">
        <v>124</v>
      </c>
      <c r="D16" s="10"/>
      <c r="E16" s="10"/>
      <c r="F16" s="10"/>
      <c r="G16" s="11"/>
    </row>
    <row r="17" ht="15.75" customHeight="1">
      <c r="A17" s="1"/>
      <c r="B17" s="32">
        <v>3.0</v>
      </c>
      <c r="C17" s="31" t="s">
        <v>128</v>
      </c>
      <c r="D17" s="10"/>
      <c r="E17" s="10"/>
      <c r="F17" s="10"/>
      <c r="G17" s="11"/>
    </row>
    <row r="18" ht="15.75" customHeight="1">
      <c r="A18" s="1"/>
      <c r="B18" s="32">
        <v>4.0</v>
      </c>
      <c r="C18" s="31" t="s">
        <v>132</v>
      </c>
      <c r="D18" s="10"/>
      <c r="E18" s="10"/>
      <c r="F18" s="10"/>
      <c r="G18" s="11"/>
    </row>
    <row r="19" ht="15.75" customHeight="1">
      <c r="A19" s="1"/>
      <c r="B19" s="32">
        <v>5.0</v>
      </c>
      <c r="C19" s="31" t="s">
        <v>133</v>
      </c>
      <c r="D19" s="10"/>
      <c r="E19" s="10"/>
      <c r="F19" s="10"/>
      <c r="G19" s="11"/>
    </row>
    <row r="20" ht="15.75" customHeight="1">
      <c r="A20" s="1"/>
      <c r="B20" s="32">
        <v>6.0</v>
      </c>
      <c r="C20" s="31" t="s">
        <v>134</v>
      </c>
      <c r="D20" s="10"/>
      <c r="E20" s="10"/>
      <c r="F20" s="10"/>
      <c r="G20" s="11"/>
    </row>
    <row r="21" ht="15.75" customHeight="1">
      <c r="A21" s="1"/>
      <c r="B21" s="32">
        <v>7.0</v>
      </c>
      <c r="C21" s="31" t="s">
        <v>136</v>
      </c>
      <c r="D21" s="10"/>
      <c r="E21" s="10"/>
      <c r="F21" s="10"/>
      <c r="G21" s="11"/>
    </row>
    <row r="22" ht="15.75" customHeight="1">
      <c r="A22" s="1"/>
      <c r="B22" s="32">
        <v>8.0</v>
      </c>
      <c r="C22" s="31" t="s">
        <v>138</v>
      </c>
      <c r="D22" s="10"/>
      <c r="E22" s="10"/>
      <c r="F22" s="10"/>
      <c r="G22" s="11"/>
    </row>
    <row r="23" ht="15.75" customHeight="1">
      <c r="A23" s="1"/>
      <c r="B23" s="32">
        <v>9.0</v>
      </c>
      <c r="C23" s="31" t="s">
        <v>140</v>
      </c>
      <c r="D23" s="10"/>
      <c r="E23" s="10"/>
      <c r="F23" s="10"/>
      <c r="G23" s="11"/>
    </row>
    <row r="24" ht="15.75" customHeight="1">
      <c r="A24" s="1"/>
      <c r="B24" s="32">
        <v>10.0</v>
      </c>
      <c r="C24" s="31" t="s">
        <v>142</v>
      </c>
      <c r="D24" s="10"/>
      <c r="E24" s="10"/>
      <c r="F24" s="10"/>
      <c r="G24" s="11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14" t="s">
        <v>145</v>
      </c>
      <c r="C27" s="1"/>
      <c r="D27" s="1"/>
      <c r="E27" s="1"/>
      <c r="F27" s="1"/>
      <c r="G27" s="1"/>
    </row>
    <row r="28">
      <c r="A28" s="1"/>
      <c r="B28" s="16" t="s">
        <v>147</v>
      </c>
    </row>
    <row r="29" ht="15.75" customHeight="1">
      <c r="A29" s="1"/>
      <c r="B29" s="1"/>
      <c r="C29" s="1"/>
      <c r="D29" s="1"/>
      <c r="E29" s="1"/>
      <c r="F29" s="1"/>
      <c r="G29" s="1"/>
    </row>
    <row r="30">
      <c r="A30" s="1"/>
      <c r="B30" s="18" t="s">
        <v>150</v>
      </c>
      <c r="C30" s="12" t="s">
        <v>119</v>
      </c>
      <c r="D30" s="10"/>
      <c r="E30" s="10"/>
      <c r="F30" s="10"/>
      <c r="G30" s="11"/>
    </row>
    <row r="31">
      <c r="A31" s="1"/>
      <c r="B31" s="18" t="s">
        <v>152</v>
      </c>
      <c r="C31" s="12" t="s">
        <v>153</v>
      </c>
      <c r="D31" s="10"/>
      <c r="E31" s="10"/>
      <c r="F31" s="10"/>
      <c r="G31" s="11"/>
    </row>
    <row r="32">
      <c r="A32" s="1"/>
      <c r="B32" s="18" t="s">
        <v>155</v>
      </c>
      <c r="C32" s="38" t="s">
        <v>156</v>
      </c>
      <c r="D32" s="10"/>
      <c r="E32" s="10"/>
      <c r="F32" s="10"/>
      <c r="G32" s="1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B34" s="26" t="s">
        <v>116</v>
      </c>
      <c r="C34" s="26" t="s">
        <v>168</v>
      </c>
      <c r="D34" s="10"/>
      <c r="E34" s="10"/>
      <c r="F34" s="10"/>
      <c r="G34" s="11"/>
    </row>
    <row r="35" ht="15.75" customHeight="1">
      <c r="B35" s="29">
        <v>1.0</v>
      </c>
      <c r="C35" s="31" t="s">
        <v>170</v>
      </c>
      <c r="D35" s="10"/>
      <c r="E35" s="10"/>
      <c r="F35" s="10"/>
      <c r="G35" s="11"/>
    </row>
    <row r="36" ht="15.75" customHeight="1">
      <c r="B36" s="29">
        <v>2.0</v>
      </c>
      <c r="C36" s="31" t="s">
        <v>172</v>
      </c>
      <c r="D36" s="10"/>
      <c r="E36" s="10"/>
      <c r="F36" s="10"/>
      <c r="G36" s="11"/>
    </row>
    <row r="37" ht="15.75" customHeight="1">
      <c r="B37" s="32">
        <v>3.0</v>
      </c>
      <c r="C37" s="31" t="s">
        <v>175</v>
      </c>
      <c r="D37" s="10"/>
      <c r="E37" s="10"/>
      <c r="F37" s="10"/>
      <c r="G37" s="11"/>
    </row>
    <row r="38" ht="15.75" customHeight="1">
      <c r="B38" s="32">
        <v>4.0</v>
      </c>
      <c r="C38" s="31" t="s">
        <v>143</v>
      </c>
      <c r="D38" s="10"/>
      <c r="E38" s="10"/>
      <c r="F38" s="10"/>
      <c r="G38" s="11"/>
    </row>
    <row r="39" ht="15.75" customHeight="1">
      <c r="B39" s="32">
        <v>5.0</v>
      </c>
      <c r="C39" s="31" t="s">
        <v>180</v>
      </c>
      <c r="D39" s="10"/>
      <c r="E39" s="10"/>
      <c r="F39" s="10"/>
      <c r="G39" s="11"/>
    </row>
    <row r="40" ht="15.75" customHeight="1">
      <c r="B40" s="32">
        <v>6.0</v>
      </c>
      <c r="C40" s="31" t="s">
        <v>182</v>
      </c>
      <c r="D40" s="10"/>
      <c r="E40" s="10"/>
      <c r="F40" s="10"/>
      <c r="G40" s="11"/>
    </row>
    <row r="41" ht="15.75" customHeight="1">
      <c r="B41" s="32">
        <v>7.0</v>
      </c>
      <c r="C41" s="31" t="s">
        <v>135</v>
      </c>
      <c r="D41" s="10"/>
      <c r="E41" s="10"/>
      <c r="F41" s="10"/>
      <c r="G41" s="11"/>
    </row>
    <row r="42" ht="15.75" customHeight="1">
      <c r="B42" s="32">
        <v>8.0</v>
      </c>
      <c r="C42" s="31" t="s">
        <v>139</v>
      </c>
      <c r="D42" s="10"/>
      <c r="E42" s="10"/>
      <c r="F42" s="10"/>
      <c r="G42" s="11"/>
    </row>
    <row r="43" ht="15.75" customHeight="1">
      <c r="B43" s="32">
        <v>9.0</v>
      </c>
      <c r="C43" s="31" t="s">
        <v>185</v>
      </c>
      <c r="D43" s="10"/>
      <c r="E43" s="10"/>
      <c r="F43" s="10"/>
      <c r="G43" s="11"/>
    </row>
    <row r="44" ht="15.75" customHeight="1">
      <c r="B44" s="32">
        <v>10.0</v>
      </c>
      <c r="C44" s="31" t="s">
        <v>187</v>
      </c>
      <c r="D44" s="10"/>
      <c r="E44" s="10"/>
      <c r="F44" s="10"/>
      <c r="G44" s="11"/>
    </row>
    <row r="45" ht="15.75" customHeight="1"/>
    <row r="46" ht="15.75" customHeight="1"/>
    <row r="47" ht="15.75" customHeight="1">
      <c r="B47" s="14" t="s">
        <v>189</v>
      </c>
    </row>
    <row r="48" ht="15.75" customHeight="1">
      <c r="B48" s="39" t="s">
        <v>190</v>
      </c>
    </row>
    <row r="49" ht="15.75" customHeight="1">
      <c r="B49" s="26" t="s">
        <v>116</v>
      </c>
      <c r="C49" s="26" t="s">
        <v>194</v>
      </c>
      <c r="D49" s="10"/>
      <c r="E49" s="10"/>
      <c r="F49" s="10"/>
      <c r="G49" s="11"/>
      <c r="H49" s="40" t="s">
        <v>197</v>
      </c>
    </row>
    <row r="50" ht="15.75" customHeight="1">
      <c r="B50" s="29">
        <v>1.0</v>
      </c>
      <c r="C50" s="31" t="s">
        <v>97</v>
      </c>
      <c r="D50" s="10"/>
      <c r="E50" s="10"/>
      <c r="F50" s="10"/>
      <c r="G50" s="11"/>
      <c r="H50" s="41" t="s">
        <v>200</v>
      </c>
      <c r="I50" s="42"/>
    </row>
    <row r="51" ht="15.75" customHeight="1">
      <c r="B51" s="29">
        <v>2.0</v>
      </c>
      <c r="C51" s="31" t="s">
        <v>100</v>
      </c>
      <c r="D51" s="10"/>
      <c r="E51" s="10"/>
      <c r="F51" s="10"/>
      <c r="G51" s="11"/>
      <c r="H51" s="43" t="s">
        <v>204</v>
      </c>
      <c r="I51" s="42"/>
    </row>
    <row r="52" ht="15.75" customHeight="1">
      <c r="B52" s="32">
        <v>3.0</v>
      </c>
      <c r="C52" s="31" t="s">
        <v>209</v>
      </c>
      <c r="D52" s="10"/>
      <c r="E52" s="10"/>
      <c r="F52" s="10"/>
      <c r="G52" s="11"/>
      <c r="H52" s="43" t="s">
        <v>211</v>
      </c>
      <c r="I52" s="42"/>
    </row>
    <row r="53" ht="15.75" customHeight="1">
      <c r="B53" s="32">
        <v>4.0</v>
      </c>
      <c r="C53" s="31" t="s">
        <v>214</v>
      </c>
      <c r="D53" s="10"/>
      <c r="E53" s="10"/>
      <c r="F53" s="10"/>
      <c r="G53" s="11"/>
      <c r="H53" s="43" t="s">
        <v>216</v>
      </c>
      <c r="I53" s="42"/>
    </row>
    <row r="54" ht="15.75" customHeight="1">
      <c r="B54" s="32">
        <v>5.0</v>
      </c>
      <c r="C54" s="31" t="s">
        <v>107</v>
      </c>
      <c r="D54" s="10"/>
      <c r="E54" s="10"/>
      <c r="F54" s="10"/>
      <c r="G54" s="11"/>
      <c r="H54" s="43" t="s">
        <v>223</v>
      </c>
      <c r="I54" s="42"/>
    </row>
    <row r="55" ht="15.75" customHeight="1">
      <c r="B55" s="32">
        <v>6.0</v>
      </c>
      <c r="C55" s="31" t="s">
        <v>110</v>
      </c>
      <c r="D55" s="10"/>
      <c r="E55" s="10"/>
      <c r="F55" s="10"/>
      <c r="G55" s="11"/>
      <c r="H55" s="43" t="s">
        <v>227</v>
      </c>
      <c r="I55" s="42"/>
    </row>
    <row r="56" ht="15.75" customHeight="1">
      <c r="B56" s="32">
        <v>7.0</v>
      </c>
      <c r="C56" s="31" t="s">
        <v>229</v>
      </c>
      <c r="D56" s="10"/>
      <c r="E56" s="10"/>
      <c r="F56" s="10"/>
      <c r="G56" s="11"/>
      <c r="H56" s="43" t="s">
        <v>231</v>
      </c>
      <c r="I56" s="42"/>
    </row>
    <row r="57" ht="15.75" customHeight="1">
      <c r="B57" s="32">
        <v>8.0</v>
      </c>
      <c r="C57" s="31" t="s">
        <v>112</v>
      </c>
      <c r="D57" s="10"/>
      <c r="E57" s="10"/>
      <c r="F57" s="10"/>
      <c r="G57" s="11"/>
      <c r="H57" s="43" t="s">
        <v>239</v>
      </c>
      <c r="I57" s="42"/>
    </row>
    <row r="58" ht="15.75" customHeight="1">
      <c r="B58" s="32">
        <v>9.0</v>
      </c>
      <c r="C58" s="31" t="s">
        <v>105</v>
      </c>
      <c r="D58" s="10"/>
      <c r="E58" s="10"/>
      <c r="F58" s="10"/>
      <c r="G58" s="11"/>
      <c r="H58" s="41" t="s">
        <v>243</v>
      </c>
      <c r="I58" s="42"/>
    </row>
    <row r="59" ht="15.75" customHeight="1">
      <c r="B59" s="32">
        <v>10.0</v>
      </c>
      <c r="C59" s="31" t="s">
        <v>115</v>
      </c>
      <c r="D59" s="10"/>
      <c r="E59" s="10"/>
      <c r="F59" s="10"/>
      <c r="G59" s="11"/>
      <c r="H59" s="43" t="s">
        <v>251</v>
      </c>
      <c r="I59" s="42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45">
    <mergeCell ref="B1:G1"/>
    <mergeCell ref="C3:G3"/>
    <mergeCell ref="C4:G4"/>
    <mergeCell ref="B7:G7"/>
    <mergeCell ref="C9:G9"/>
    <mergeCell ref="C10:G10"/>
    <mergeCell ref="C11:G11"/>
    <mergeCell ref="C12:G12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28:G28"/>
    <mergeCell ref="C30:G30"/>
    <mergeCell ref="C31:G31"/>
    <mergeCell ref="C32:G32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9:G49"/>
    <mergeCell ref="C59:G59"/>
    <mergeCell ref="C58:G58"/>
    <mergeCell ref="C57:G57"/>
    <mergeCell ref="C50:G50"/>
    <mergeCell ref="C51:G51"/>
    <mergeCell ref="C52:G52"/>
    <mergeCell ref="C53:G53"/>
    <mergeCell ref="C54:G54"/>
    <mergeCell ref="C55:G55"/>
    <mergeCell ref="C56:G56"/>
  </mergeCells>
  <dataValidations>
    <dataValidation type="list" allowBlank="1" showErrorMessage="1" sqref="C3">
      <formula1>Metadata!$A$2:$A$81</formula1>
    </dataValidation>
  </dataValidations>
  <hyperlinks>
    <hyperlink r:id="rId1" ref="C32"/>
    <hyperlink r:id="rId2" ref="H50"/>
    <hyperlink r:id="rId3" ref="H51"/>
    <hyperlink r:id="rId4" ref="H52"/>
    <hyperlink r:id="rId5" ref="H53"/>
    <hyperlink r:id="rId6" ref="H54"/>
    <hyperlink r:id="rId7" ref="H55"/>
    <hyperlink r:id="rId8" ref="H56"/>
    <hyperlink r:id="rId9" ref="H57"/>
    <hyperlink r:id="rId10" ref="H58"/>
    <hyperlink r:id="rId11" ref="H59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0.25"/>
    <col customWidth="1" min="3" max="3" width="20.88"/>
    <col customWidth="1" min="4" max="4" width="26.25"/>
    <col customWidth="1" min="5" max="5" width="25.25"/>
    <col customWidth="1" min="6" max="6" width="25.13"/>
    <col customWidth="1" min="7" max="7" width="24.25"/>
  </cols>
  <sheetData>
    <row r="1">
      <c r="A1" s="1"/>
      <c r="B1" s="2" t="s">
        <v>8</v>
      </c>
      <c r="C1" s="3"/>
      <c r="D1" s="3"/>
      <c r="E1" s="3"/>
      <c r="F1" s="3"/>
      <c r="G1" s="4"/>
    </row>
    <row r="2">
      <c r="A2" s="6" t="str">
        <f>#REF!&amp;" - "&amp;C3</f>
        <v>#REF!</v>
      </c>
      <c r="B2" s="1"/>
      <c r="C2" s="1"/>
      <c r="D2" s="1"/>
      <c r="E2" s="1"/>
      <c r="F2" s="1"/>
      <c r="G2" s="1"/>
    </row>
    <row r="3">
      <c r="A3" s="1"/>
      <c r="B3" s="7" t="s">
        <v>54</v>
      </c>
      <c r="C3" s="8" t="str">
        <f>Refentes!C3</f>
        <v>771 - Introducción a la Programación y Computación 2</v>
      </c>
      <c r="D3" s="10"/>
      <c r="E3" s="10"/>
      <c r="F3" s="10"/>
      <c r="G3" s="11"/>
    </row>
    <row r="4">
      <c r="A4" s="1"/>
      <c r="B4" s="7" t="s">
        <v>82</v>
      </c>
      <c r="C4" s="12" t="str">
        <f>Refentes!C4</f>
        <v>Segundo Semestre 2026</v>
      </c>
      <c r="D4" s="10"/>
      <c r="E4" s="10"/>
      <c r="F4" s="10"/>
      <c r="G4" s="11"/>
    </row>
    <row r="5">
      <c r="A5" s="1"/>
      <c r="B5" s="13" t="s">
        <v>86</v>
      </c>
    </row>
    <row r="6">
      <c r="A6" s="1"/>
      <c r="B6" s="15" t="s">
        <v>88</v>
      </c>
    </row>
    <row r="7">
      <c r="A7" s="1"/>
      <c r="B7" s="21"/>
      <c r="C7" s="21"/>
      <c r="D7" s="21"/>
      <c r="E7" s="21"/>
      <c r="F7" s="21"/>
      <c r="G7" s="21"/>
    </row>
    <row r="8">
      <c r="A8" s="1"/>
      <c r="B8" s="21"/>
      <c r="C8" s="21"/>
      <c r="D8" s="21"/>
      <c r="E8" s="21"/>
      <c r="F8" s="23" t="s">
        <v>103</v>
      </c>
      <c r="G8" s="23" t="s">
        <v>109</v>
      </c>
    </row>
    <row r="9">
      <c r="A9" s="1"/>
      <c r="B9" s="25" t="s">
        <v>113</v>
      </c>
      <c r="C9" s="10"/>
      <c r="D9" s="10"/>
      <c r="E9" s="11"/>
      <c r="F9" s="18" t="str">
        <f>Refentes!C9</f>
        <v>MIT(EECS)</v>
      </c>
      <c r="G9" s="30" t="s">
        <v>119</v>
      </c>
    </row>
    <row r="10">
      <c r="A10" s="1"/>
      <c r="B10" s="18" t="s">
        <v>121</v>
      </c>
      <c r="C10" s="18" t="s">
        <v>122</v>
      </c>
      <c r="D10" s="18" t="s">
        <v>123</v>
      </c>
      <c r="E10" s="18" t="s">
        <v>125</v>
      </c>
      <c r="F10" s="18" t="s">
        <v>126</v>
      </c>
      <c r="G10" s="30" t="s">
        <v>126</v>
      </c>
    </row>
    <row r="11">
      <c r="B11" s="33" t="s">
        <v>127</v>
      </c>
      <c r="C11" s="33" t="s">
        <v>129</v>
      </c>
      <c r="D11" s="34" t="s">
        <v>130</v>
      </c>
      <c r="E11" s="33" t="s">
        <v>131</v>
      </c>
      <c r="F11" s="35" t="s">
        <v>120</v>
      </c>
      <c r="G11" s="36" t="s">
        <v>135</v>
      </c>
    </row>
    <row r="12">
      <c r="B12" s="33" t="s">
        <v>127</v>
      </c>
      <c r="C12" s="33" t="s">
        <v>129</v>
      </c>
      <c r="D12" s="34" t="s">
        <v>130</v>
      </c>
      <c r="E12" s="34" t="s">
        <v>137</v>
      </c>
      <c r="F12" s="35" t="s">
        <v>120</v>
      </c>
      <c r="G12" s="36" t="s">
        <v>139</v>
      </c>
    </row>
    <row r="13">
      <c r="B13" s="33" t="s">
        <v>127</v>
      </c>
      <c r="C13" s="33" t="s">
        <v>129</v>
      </c>
      <c r="D13" s="34" t="s">
        <v>130</v>
      </c>
      <c r="E13" s="34" t="s">
        <v>141</v>
      </c>
      <c r="F13" s="35" t="s">
        <v>120</v>
      </c>
      <c r="G13" s="36" t="s">
        <v>143</v>
      </c>
    </row>
    <row r="14">
      <c r="B14" s="33" t="s">
        <v>127</v>
      </c>
      <c r="C14" s="33" t="s">
        <v>129</v>
      </c>
      <c r="D14" s="34" t="s">
        <v>130</v>
      </c>
      <c r="E14" s="34" t="s">
        <v>144</v>
      </c>
      <c r="F14" s="35" t="s">
        <v>120</v>
      </c>
      <c r="G14" s="36" t="s">
        <v>146</v>
      </c>
    </row>
    <row r="15">
      <c r="B15" s="33" t="s">
        <v>127</v>
      </c>
      <c r="C15" s="33" t="s">
        <v>129</v>
      </c>
      <c r="D15" s="34" t="s">
        <v>130</v>
      </c>
      <c r="E15" s="34" t="s">
        <v>148</v>
      </c>
      <c r="F15" s="35" t="s">
        <v>120</v>
      </c>
      <c r="G15" s="36" t="s">
        <v>149</v>
      </c>
    </row>
    <row r="16">
      <c r="B16" s="33" t="s">
        <v>127</v>
      </c>
      <c r="C16" s="33" t="s">
        <v>129</v>
      </c>
      <c r="D16" s="34" t="s">
        <v>130</v>
      </c>
      <c r="E16" s="34" t="s">
        <v>151</v>
      </c>
      <c r="F16" s="35" t="s">
        <v>124</v>
      </c>
      <c r="G16" s="36" t="s">
        <v>149</v>
      </c>
    </row>
    <row r="17">
      <c r="B17" s="33" t="s">
        <v>127</v>
      </c>
      <c r="C17" s="33" t="s">
        <v>129</v>
      </c>
      <c r="D17" s="34" t="s">
        <v>130</v>
      </c>
      <c r="E17" s="34" t="s">
        <v>154</v>
      </c>
      <c r="F17" s="35" t="s">
        <v>120</v>
      </c>
      <c r="G17" s="36" t="s">
        <v>146</v>
      </c>
    </row>
    <row r="18">
      <c r="B18" s="33" t="s">
        <v>127</v>
      </c>
      <c r="C18" s="33" t="s">
        <v>129</v>
      </c>
      <c r="D18" s="33" t="s">
        <v>157</v>
      </c>
      <c r="E18" s="34" t="s">
        <v>158</v>
      </c>
      <c r="F18" s="35" t="s">
        <v>128</v>
      </c>
      <c r="G18" s="36" t="s">
        <v>159</v>
      </c>
    </row>
    <row r="19">
      <c r="B19" s="33" t="s">
        <v>127</v>
      </c>
      <c r="C19" s="33" t="s">
        <v>129</v>
      </c>
      <c r="D19" s="33" t="s">
        <v>157</v>
      </c>
      <c r="E19" s="34" t="s">
        <v>160</v>
      </c>
      <c r="F19" s="35" t="s">
        <v>128</v>
      </c>
      <c r="G19" s="36" t="s">
        <v>159</v>
      </c>
    </row>
    <row r="20">
      <c r="B20" s="33" t="s">
        <v>127</v>
      </c>
      <c r="C20" s="33" t="s">
        <v>129</v>
      </c>
      <c r="D20" s="33" t="s">
        <v>157</v>
      </c>
      <c r="E20" s="34" t="s">
        <v>161</v>
      </c>
      <c r="F20" s="35" t="s">
        <v>128</v>
      </c>
      <c r="G20" s="36" t="s">
        <v>159</v>
      </c>
    </row>
    <row r="21">
      <c r="B21" s="34" t="s">
        <v>162</v>
      </c>
      <c r="C21" s="34" t="s">
        <v>163</v>
      </c>
      <c r="D21" s="34" t="s">
        <v>164</v>
      </c>
      <c r="E21" s="34" t="s">
        <v>165</v>
      </c>
      <c r="F21" s="37"/>
      <c r="G21" s="36" t="s">
        <v>166</v>
      </c>
    </row>
    <row r="22">
      <c r="B22" s="34" t="s">
        <v>162</v>
      </c>
      <c r="C22" s="34" t="s">
        <v>163</v>
      </c>
      <c r="D22" s="34" t="s">
        <v>164</v>
      </c>
      <c r="E22" s="34" t="s">
        <v>167</v>
      </c>
      <c r="F22" s="37"/>
      <c r="G22" s="36" t="s">
        <v>166</v>
      </c>
    </row>
    <row r="23">
      <c r="B23" s="34" t="s">
        <v>162</v>
      </c>
      <c r="C23" s="34" t="s">
        <v>163</v>
      </c>
      <c r="D23" s="34" t="s">
        <v>164</v>
      </c>
      <c r="E23" s="34" t="s">
        <v>169</v>
      </c>
      <c r="F23" s="37"/>
      <c r="G23" s="36" t="s">
        <v>166</v>
      </c>
    </row>
    <row r="24">
      <c r="B24" s="34" t="s">
        <v>162</v>
      </c>
      <c r="C24" s="34" t="s">
        <v>163</v>
      </c>
      <c r="D24" s="34" t="s">
        <v>164</v>
      </c>
      <c r="E24" s="34" t="s">
        <v>171</v>
      </c>
      <c r="F24" s="37"/>
      <c r="G24" s="36" t="s">
        <v>166</v>
      </c>
    </row>
    <row r="25">
      <c r="B25" s="34" t="s">
        <v>173</v>
      </c>
      <c r="C25" s="34" t="s">
        <v>174</v>
      </c>
      <c r="D25" s="34" t="s">
        <v>176</v>
      </c>
      <c r="E25" s="34" t="s">
        <v>177</v>
      </c>
      <c r="F25" s="37"/>
      <c r="G25" s="36" t="s">
        <v>178</v>
      </c>
    </row>
    <row r="26">
      <c r="B26" s="34" t="s">
        <v>173</v>
      </c>
      <c r="C26" s="34" t="s">
        <v>174</v>
      </c>
      <c r="D26" s="34" t="s">
        <v>176</v>
      </c>
      <c r="E26" s="34" t="s">
        <v>179</v>
      </c>
      <c r="F26" s="37"/>
      <c r="G26" s="36" t="s">
        <v>178</v>
      </c>
    </row>
    <row r="27">
      <c r="B27" s="34" t="s">
        <v>173</v>
      </c>
      <c r="C27" s="34" t="s">
        <v>174</v>
      </c>
      <c r="D27" s="34" t="s">
        <v>176</v>
      </c>
      <c r="E27" s="34" t="s">
        <v>181</v>
      </c>
      <c r="F27" s="37"/>
      <c r="G27" s="36" t="s">
        <v>178</v>
      </c>
    </row>
    <row r="28">
      <c r="B28" s="34" t="s">
        <v>173</v>
      </c>
      <c r="C28" s="34" t="s">
        <v>174</v>
      </c>
      <c r="D28" s="34" t="s">
        <v>176</v>
      </c>
      <c r="E28" s="34" t="s">
        <v>183</v>
      </c>
      <c r="F28" s="37"/>
      <c r="G28" s="36" t="s">
        <v>178</v>
      </c>
    </row>
    <row r="29">
      <c r="B29" s="34" t="s">
        <v>173</v>
      </c>
      <c r="C29" s="34" t="s">
        <v>174</v>
      </c>
      <c r="D29" s="34" t="s">
        <v>176</v>
      </c>
      <c r="E29" s="34" t="s">
        <v>184</v>
      </c>
      <c r="F29" s="37"/>
      <c r="G29" s="36" t="s">
        <v>178</v>
      </c>
    </row>
    <row r="30">
      <c r="B30" s="34" t="s">
        <v>173</v>
      </c>
      <c r="C30" s="34" t="s">
        <v>174</v>
      </c>
      <c r="D30" s="34" t="s">
        <v>176</v>
      </c>
      <c r="E30" s="34" t="s">
        <v>186</v>
      </c>
      <c r="F30" s="37"/>
      <c r="G30" s="36" t="s">
        <v>178</v>
      </c>
    </row>
    <row r="31">
      <c r="B31" s="34" t="s">
        <v>173</v>
      </c>
      <c r="C31" s="34" t="s">
        <v>174</v>
      </c>
      <c r="D31" s="34" t="s">
        <v>176</v>
      </c>
      <c r="E31" s="34" t="s">
        <v>188</v>
      </c>
      <c r="F31" s="37"/>
      <c r="G31" s="36" t="s">
        <v>178</v>
      </c>
    </row>
    <row r="32">
      <c r="B32" s="33" t="s">
        <v>191</v>
      </c>
      <c r="C32" s="34" t="s">
        <v>192</v>
      </c>
      <c r="D32" s="33" t="s">
        <v>193</v>
      </c>
      <c r="E32" s="34" t="s">
        <v>195</v>
      </c>
      <c r="F32" s="35" t="s">
        <v>124</v>
      </c>
      <c r="G32" s="36" t="s">
        <v>196</v>
      </c>
    </row>
    <row r="33">
      <c r="B33" s="33" t="s">
        <v>191</v>
      </c>
      <c r="C33" s="34" t="s">
        <v>192</v>
      </c>
      <c r="D33" s="33" t="s">
        <v>198</v>
      </c>
      <c r="E33" s="33" t="s">
        <v>199</v>
      </c>
      <c r="F33" s="35" t="s">
        <v>124</v>
      </c>
      <c r="G33" s="36" t="s">
        <v>196</v>
      </c>
    </row>
    <row r="34">
      <c r="B34" s="33" t="s">
        <v>191</v>
      </c>
      <c r="C34" s="34" t="s">
        <v>192</v>
      </c>
      <c r="D34" s="33" t="s">
        <v>198</v>
      </c>
      <c r="E34" s="34" t="s">
        <v>201</v>
      </c>
      <c r="F34" s="35" t="s">
        <v>138</v>
      </c>
      <c r="G34" s="36" t="s">
        <v>196</v>
      </c>
    </row>
    <row r="35">
      <c r="B35" s="33" t="s">
        <v>191</v>
      </c>
      <c r="C35" s="34" t="s">
        <v>192</v>
      </c>
      <c r="D35" s="33" t="s">
        <v>193</v>
      </c>
      <c r="E35" s="34" t="s">
        <v>202</v>
      </c>
      <c r="F35" s="35" t="s">
        <v>124</v>
      </c>
      <c r="G35" s="36" t="s">
        <v>196</v>
      </c>
    </row>
    <row r="36">
      <c r="B36" s="33" t="s">
        <v>191</v>
      </c>
      <c r="C36" s="34" t="s">
        <v>192</v>
      </c>
      <c r="D36" s="33" t="s">
        <v>193</v>
      </c>
      <c r="E36" s="34" t="s">
        <v>203</v>
      </c>
      <c r="F36" s="35" t="s">
        <v>124</v>
      </c>
      <c r="G36" s="36" t="s">
        <v>196</v>
      </c>
    </row>
    <row r="37">
      <c r="B37" s="33" t="s">
        <v>191</v>
      </c>
      <c r="C37" s="34" t="s">
        <v>192</v>
      </c>
      <c r="D37" s="33" t="s">
        <v>198</v>
      </c>
      <c r="E37" s="34" t="s">
        <v>205</v>
      </c>
      <c r="F37" s="37"/>
      <c r="G37" s="36" t="s">
        <v>146</v>
      </c>
    </row>
    <row r="38">
      <c r="B38" s="33" t="s">
        <v>206</v>
      </c>
      <c r="C38" s="34" t="s">
        <v>192</v>
      </c>
      <c r="D38" s="33" t="s">
        <v>198</v>
      </c>
      <c r="E38" s="34" t="s">
        <v>207</v>
      </c>
      <c r="F38" s="35" t="s">
        <v>128</v>
      </c>
      <c r="G38" s="36" t="s">
        <v>196</v>
      </c>
    </row>
    <row r="39">
      <c r="B39" s="33" t="s">
        <v>206</v>
      </c>
      <c r="C39" s="34" t="s">
        <v>192</v>
      </c>
      <c r="D39" s="34" t="s">
        <v>208</v>
      </c>
      <c r="E39" s="34" t="s">
        <v>210</v>
      </c>
      <c r="F39" s="35" t="s">
        <v>128</v>
      </c>
      <c r="G39" s="36" t="s">
        <v>196</v>
      </c>
    </row>
    <row r="40">
      <c r="B40" s="33" t="s">
        <v>206</v>
      </c>
      <c r="C40" s="34" t="s">
        <v>192</v>
      </c>
      <c r="D40" s="34" t="s">
        <v>208</v>
      </c>
      <c r="E40" s="34" t="s">
        <v>212</v>
      </c>
      <c r="F40" s="35" t="s">
        <v>128</v>
      </c>
      <c r="G40" s="36" t="s">
        <v>196</v>
      </c>
    </row>
    <row r="41">
      <c r="B41" s="33" t="s">
        <v>206</v>
      </c>
      <c r="C41" s="34" t="s">
        <v>192</v>
      </c>
      <c r="D41" s="34" t="s">
        <v>208</v>
      </c>
      <c r="E41" s="34" t="s">
        <v>213</v>
      </c>
      <c r="F41" s="35" t="s">
        <v>128</v>
      </c>
      <c r="G41" s="36" t="s">
        <v>196</v>
      </c>
    </row>
    <row r="42">
      <c r="B42" s="33" t="s">
        <v>206</v>
      </c>
      <c r="C42" s="34" t="s">
        <v>192</v>
      </c>
      <c r="D42" s="34" t="s">
        <v>208</v>
      </c>
      <c r="E42" s="34" t="s">
        <v>215</v>
      </c>
      <c r="F42" s="35" t="s">
        <v>128</v>
      </c>
      <c r="G42" s="36" t="s">
        <v>196</v>
      </c>
    </row>
    <row r="43">
      <c r="B43" s="33" t="s">
        <v>206</v>
      </c>
      <c r="C43" s="34" t="s">
        <v>192</v>
      </c>
      <c r="D43" s="34" t="s">
        <v>208</v>
      </c>
      <c r="E43" s="34" t="s">
        <v>217</v>
      </c>
      <c r="F43" s="35" t="s">
        <v>128</v>
      </c>
      <c r="G43" s="36" t="s">
        <v>196</v>
      </c>
    </row>
    <row r="44">
      <c r="B44" s="33" t="s">
        <v>206</v>
      </c>
      <c r="C44" s="34" t="s">
        <v>192</v>
      </c>
      <c r="D44" s="34" t="s">
        <v>218</v>
      </c>
      <c r="E44" s="34" t="s">
        <v>219</v>
      </c>
      <c r="F44" s="35" t="s">
        <v>128</v>
      </c>
      <c r="G44" s="36" t="s">
        <v>196</v>
      </c>
    </row>
    <row r="45">
      <c r="B45" s="33" t="s">
        <v>206</v>
      </c>
      <c r="C45" s="34" t="s">
        <v>192</v>
      </c>
      <c r="D45" s="34" t="s">
        <v>208</v>
      </c>
      <c r="E45" s="34" t="s">
        <v>220</v>
      </c>
      <c r="F45" s="35" t="s">
        <v>128</v>
      </c>
      <c r="G45" s="36" t="s">
        <v>196</v>
      </c>
    </row>
    <row r="46">
      <c r="B46" s="33" t="s">
        <v>206</v>
      </c>
      <c r="C46" s="34" t="s">
        <v>192</v>
      </c>
      <c r="D46" s="34" t="s">
        <v>221</v>
      </c>
      <c r="E46" s="34" t="s">
        <v>222</v>
      </c>
      <c r="F46" s="35" t="s">
        <v>128</v>
      </c>
      <c r="G46" s="36" t="s">
        <v>196</v>
      </c>
    </row>
    <row r="47">
      <c r="B47" s="33" t="s">
        <v>206</v>
      </c>
      <c r="C47" s="34" t="s">
        <v>192</v>
      </c>
      <c r="D47" s="34" t="s">
        <v>221</v>
      </c>
      <c r="E47" s="34" t="s">
        <v>224</v>
      </c>
      <c r="F47" s="35" t="s">
        <v>128</v>
      </c>
      <c r="G47" s="36" t="s">
        <v>196</v>
      </c>
    </row>
    <row r="48">
      <c r="B48" s="33" t="s">
        <v>206</v>
      </c>
      <c r="C48" s="34" t="s">
        <v>192</v>
      </c>
      <c r="D48" s="34" t="s">
        <v>221</v>
      </c>
      <c r="E48" s="34" t="s">
        <v>225</v>
      </c>
      <c r="F48" s="35" t="s">
        <v>128</v>
      </c>
      <c r="G48" s="36" t="s">
        <v>196</v>
      </c>
    </row>
    <row r="49">
      <c r="B49" s="33" t="s">
        <v>206</v>
      </c>
      <c r="C49" s="34" t="s">
        <v>192</v>
      </c>
      <c r="D49" s="34" t="s">
        <v>221</v>
      </c>
      <c r="E49" s="34" t="s">
        <v>226</v>
      </c>
      <c r="F49" s="35" t="s">
        <v>128</v>
      </c>
      <c r="G49" s="36" t="s">
        <v>228</v>
      </c>
    </row>
    <row r="50">
      <c r="B50" s="33" t="s">
        <v>206</v>
      </c>
      <c r="C50" s="34" t="s">
        <v>192</v>
      </c>
      <c r="D50" s="34" t="s">
        <v>221</v>
      </c>
      <c r="E50" s="34" t="s">
        <v>230</v>
      </c>
      <c r="F50" s="35" t="s">
        <v>128</v>
      </c>
      <c r="G50" s="36" t="s">
        <v>228</v>
      </c>
    </row>
    <row r="51">
      <c r="B51" s="33" t="s">
        <v>206</v>
      </c>
      <c r="C51" s="34" t="s">
        <v>192</v>
      </c>
      <c r="D51" s="34" t="s">
        <v>221</v>
      </c>
      <c r="E51" s="34" t="s">
        <v>232</v>
      </c>
      <c r="F51" s="35" t="s">
        <v>128</v>
      </c>
      <c r="G51" s="36" t="s">
        <v>228</v>
      </c>
    </row>
    <row r="52">
      <c r="B52" s="34" t="s">
        <v>233</v>
      </c>
      <c r="C52" s="34" t="s">
        <v>234</v>
      </c>
      <c r="D52" s="34" t="s">
        <v>235</v>
      </c>
      <c r="E52" s="34" t="s">
        <v>236</v>
      </c>
      <c r="F52" s="37"/>
      <c r="G52" s="36" t="s">
        <v>237</v>
      </c>
    </row>
    <row r="53">
      <c r="B53" s="34" t="s">
        <v>233</v>
      </c>
      <c r="C53" s="34" t="s">
        <v>234</v>
      </c>
      <c r="D53" s="34" t="s">
        <v>235</v>
      </c>
      <c r="E53" s="34" t="s">
        <v>238</v>
      </c>
      <c r="F53" s="37"/>
      <c r="G53" s="36" t="s">
        <v>237</v>
      </c>
    </row>
    <row r="54">
      <c r="B54" s="34" t="s">
        <v>233</v>
      </c>
      <c r="C54" s="34" t="s">
        <v>234</v>
      </c>
      <c r="D54" s="34" t="s">
        <v>235</v>
      </c>
      <c r="E54" s="34" t="s">
        <v>240</v>
      </c>
      <c r="F54" s="37"/>
      <c r="G54" s="36" t="s">
        <v>237</v>
      </c>
    </row>
    <row r="55">
      <c r="B55" s="34" t="s">
        <v>233</v>
      </c>
      <c r="C55" s="34" t="s">
        <v>234</v>
      </c>
      <c r="D55" s="34" t="s">
        <v>235</v>
      </c>
      <c r="E55" s="34" t="s">
        <v>241</v>
      </c>
      <c r="F55" s="37"/>
      <c r="G55" s="36" t="s">
        <v>237</v>
      </c>
    </row>
    <row r="56">
      <c r="B56" s="34" t="s">
        <v>233</v>
      </c>
      <c r="C56" s="34" t="s">
        <v>234</v>
      </c>
      <c r="D56" s="34" t="s">
        <v>235</v>
      </c>
      <c r="E56" s="34" t="s">
        <v>242</v>
      </c>
      <c r="F56" s="37"/>
      <c r="G56" s="36" t="s">
        <v>237</v>
      </c>
    </row>
    <row r="57">
      <c r="B57" s="34" t="s">
        <v>233</v>
      </c>
      <c r="C57" s="34" t="s">
        <v>234</v>
      </c>
      <c r="D57" s="34" t="s">
        <v>235</v>
      </c>
      <c r="E57" s="34" t="s">
        <v>244</v>
      </c>
      <c r="F57" s="37"/>
      <c r="G57" s="36" t="s">
        <v>237</v>
      </c>
    </row>
    <row r="58">
      <c r="B58" s="34" t="s">
        <v>233</v>
      </c>
      <c r="C58" s="34" t="s">
        <v>234</v>
      </c>
      <c r="D58" s="34" t="s">
        <v>235</v>
      </c>
      <c r="E58" s="34" t="s">
        <v>245</v>
      </c>
      <c r="F58" s="37"/>
      <c r="G58" s="36" t="s">
        <v>237</v>
      </c>
    </row>
    <row r="59">
      <c r="B59" s="33" t="s">
        <v>246</v>
      </c>
      <c r="C59" s="33" t="s">
        <v>247</v>
      </c>
      <c r="D59" s="34" t="s">
        <v>248</v>
      </c>
      <c r="E59" s="33" t="s">
        <v>249</v>
      </c>
      <c r="F59" s="37"/>
      <c r="G59" s="36" t="s">
        <v>250</v>
      </c>
    </row>
    <row r="60">
      <c r="B60" s="33" t="s">
        <v>246</v>
      </c>
      <c r="C60" s="33" t="s">
        <v>247</v>
      </c>
      <c r="D60" s="34" t="s">
        <v>248</v>
      </c>
      <c r="E60" s="34" t="s">
        <v>106</v>
      </c>
      <c r="F60" s="37"/>
      <c r="G60" s="36" t="s">
        <v>250</v>
      </c>
    </row>
    <row r="61">
      <c r="B61" s="33" t="s">
        <v>246</v>
      </c>
      <c r="C61" s="33" t="s">
        <v>247</v>
      </c>
      <c r="D61" s="34" t="s">
        <v>248</v>
      </c>
      <c r="E61" s="34" t="s">
        <v>252</v>
      </c>
      <c r="F61" s="37"/>
      <c r="G61" s="36" t="s">
        <v>250</v>
      </c>
    </row>
    <row r="62">
      <c r="B62" s="33" t="s">
        <v>246</v>
      </c>
      <c r="C62" s="33" t="s">
        <v>247</v>
      </c>
      <c r="D62" s="34" t="s">
        <v>248</v>
      </c>
      <c r="E62" s="34" t="s">
        <v>253</v>
      </c>
      <c r="F62" s="37"/>
      <c r="G62" s="36" t="s">
        <v>250</v>
      </c>
    </row>
    <row r="63">
      <c r="B63" s="33" t="s">
        <v>246</v>
      </c>
      <c r="C63" s="33" t="s">
        <v>247</v>
      </c>
      <c r="D63" s="34" t="s">
        <v>248</v>
      </c>
      <c r="E63" s="34" t="s">
        <v>254</v>
      </c>
      <c r="F63" s="37"/>
      <c r="G63" s="36" t="s">
        <v>250</v>
      </c>
    </row>
    <row r="64">
      <c r="B64" s="33" t="s">
        <v>246</v>
      </c>
      <c r="C64" s="33" t="s">
        <v>247</v>
      </c>
      <c r="D64" s="34" t="s">
        <v>248</v>
      </c>
      <c r="E64" s="34" t="s">
        <v>255</v>
      </c>
      <c r="F64" s="37"/>
      <c r="G64" s="36" t="s">
        <v>250</v>
      </c>
    </row>
    <row r="65">
      <c r="B65" s="33" t="s">
        <v>246</v>
      </c>
      <c r="C65" s="33" t="s">
        <v>247</v>
      </c>
      <c r="D65" s="34" t="s">
        <v>248</v>
      </c>
      <c r="E65" s="34" t="s">
        <v>245</v>
      </c>
      <c r="F65" s="37"/>
      <c r="G65" s="36" t="s">
        <v>237</v>
      </c>
    </row>
    <row r="66">
      <c r="B66" s="33" t="s">
        <v>246</v>
      </c>
      <c r="C66" s="33" t="s">
        <v>247</v>
      </c>
      <c r="D66" s="34" t="s">
        <v>256</v>
      </c>
      <c r="E66" s="34" t="s">
        <v>257</v>
      </c>
      <c r="F66" s="37"/>
      <c r="G66" s="36" t="s">
        <v>250</v>
      </c>
    </row>
    <row r="67">
      <c r="B67" s="33" t="s">
        <v>246</v>
      </c>
      <c r="C67" s="33" t="s">
        <v>247</v>
      </c>
      <c r="D67" s="34" t="s">
        <v>256</v>
      </c>
      <c r="E67" s="34" t="s">
        <v>258</v>
      </c>
      <c r="F67" s="37"/>
      <c r="G67" s="36" t="s">
        <v>250</v>
      </c>
    </row>
    <row r="68">
      <c r="B68" s="33" t="s">
        <v>246</v>
      </c>
      <c r="C68" s="33" t="s">
        <v>247</v>
      </c>
      <c r="D68" s="34" t="s">
        <v>256</v>
      </c>
      <c r="E68" s="34" t="s">
        <v>259</v>
      </c>
      <c r="F68" s="37"/>
      <c r="G68" s="36" t="s">
        <v>250</v>
      </c>
    </row>
    <row r="69">
      <c r="B69" s="33" t="s">
        <v>246</v>
      </c>
      <c r="C69" s="33" t="s">
        <v>247</v>
      </c>
      <c r="D69" s="34" t="s">
        <v>256</v>
      </c>
      <c r="E69" s="34" t="s">
        <v>260</v>
      </c>
      <c r="F69" s="37"/>
      <c r="G69" s="36" t="s">
        <v>250</v>
      </c>
    </row>
    <row r="70">
      <c r="B70" s="33" t="s">
        <v>246</v>
      </c>
      <c r="C70" s="33" t="s">
        <v>247</v>
      </c>
      <c r="D70" s="34" t="s">
        <v>261</v>
      </c>
      <c r="E70" s="34" t="s">
        <v>262</v>
      </c>
      <c r="F70" s="37"/>
      <c r="G70" s="36" t="s">
        <v>250</v>
      </c>
    </row>
    <row r="71">
      <c r="B71" s="33" t="s">
        <v>246</v>
      </c>
      <c r="C71" s="33" t="s">
        <v>247</v>
      </c>
      <c r="D71" s="34" t="s">
        <v>261</v>
      </c>
      <c r="E71" s="34" t="s">
        <v>263</v>
      </c>
      <c r="F71" s="37"/>
      <c r="G71" s="36" t="s">
        <v>250</v>
      </c>
    </row>
    <row r="72">
      <c r="B72" s="33" t="s">
        <v>246</v>
      </c>
      <c r="C72" s="33" t="s">
        <v>247</v>
      </c>
      <c r="D72" s="34" t="s">
        <v>261</v>
      </c>
      <c r="E72" s="34" t="s">
        <v>264</v>
      </c>
      <c r="F72" s="37"/>
      <c r="G72" s="36" t="s">
        <v>250</v>
      </c>
    </row>
    <row r="73">
      <c r="B73" s="34" t="s">
        <v>265</v>
      </c>
      <c r="C73" s="34" t="s">
        <v>266</v>
      </c>
      <c r="D73" s="34" t="s">
        <v>267</v>
      </c>
      <c r="E73" s="34" t="s">
        <v>268</v>
      </c>
      <c r="F73" s="37"/>
      <c r="G73" s="36" t="s">
        <v>178</v>
      </c>
    </row>
    <row r="74">
      <c r="B74" s="34" t="s">
        <v>265</v>
      </c>
      <c r="C74" s="34" t="s">
        <v>266</v>
      </c>
      <c r="D74" s="34" t="s">
        <v>267</v>
      </c>
      <c r="E74" s="34" t="s">
        <v>269</v>
      </c>
      <c r="F74" s="37"/>
      <c r="G74" s="36" t="s">
        <v>178</v>
      </c>
    </row>
    <row r="75">
      <c r="B75" s="34" t="s">
        <v>265</v>
      </c>
      <c r="C75" s="34" t="s">
        <v>266</v>
      </c>
      <c r="D75" s="34" t="s">
        <v>267</v>
      </c>
      <c r="E75" s="34" t="s">
        <v>270</v>
      </c>
      <c r="F75" s="37"/>
      <c r="G75" s="36" t="s">
        <v>178</v>
      </c>
    </row>
    <row r="76">
      <c r="B76" s="34" t="s">
        <v>233</v>
      </c>
      <c r="C76" s="34" t="s">
        <v>271</v>
      </c>
      <c r="D76" s="33" t="s">
        <v>272</v>
      </c>
      <c r="E76" s="34" t="s">
        <v>273</v>
      </c>
      <c r="F76" s="35" t="s">
        <v>138</v>
      </c>
      <c r="G76" s="36" t="s">
        <v>274</v>
      </c>
    </row>
    <row r="77">
      <c r="B77" s="34" t="s">
        <v>233</v>
      </c>
      <c r="C77" s="34" t="s">
        <v>271</v>
      </c>
      <c r="D77" s="33" t="s">
        <v>272</v>
      </c>
      <c r="E77" s="34" t="s">
        <v>275</v>
      </c>
      <c r="F77" s="37"/>
      <c r="G77" s="36" t="s">
        <v>274</v>
      </c>
    </row>
    <row r="78">
      <c r="B78" s="34" t="s">
        <v>233</v>
      </c>
      <c r="C78" s="34" t="s">
        <v>271</v>
      </c>
      <c r="D78" s="33" t="s">
        <v>272</v>
      </c>
      <c r="E78" s="33" t="s">
        <v>276</v>
      </c>
      <c r="F78" s="35" t="s">
        <v>138</v>
      </c>
      <c r="G78" s="36" t="s">
        <v>274</v>
      </c>
    </row>
    <row r="79">
      <c r="B79" s="34" t="s">
        <v>233</v>
      </c>
      <c r="C79" s="34" t="s">
        <v>271</v>
      </c>
      <c r="D79" s="33" t="s">
        <v>272</v>
      </c>
      <c r="E79" s="34" t="s">
        <v>277</v>
      </c>
      <c r="F79" s="35" t="s">
        <v>138</v>
      </c>
      <c r="G79" s="36" t="s">
        <v>274</v>
      </c>
    </row>
    <row r="80">
      <c r="B80" s="34" t="s">
        <v>265</v>
      </c>
      <c r="C80" s="34" t="s">
        <v>271</v>
      </c>
      <c r="D80" s="34" t="s">
        <v>278</v>
      </c>
      <c r="E80" s="34" t="s">
        <v>279</v>
      </c>
      <c r="F80" s="35" t="s">
        <v>128</v>
      </c>
      <c r="G80" s="36" t="s">
        <v>274</v>
      </c>
    </row>
    <row r="81">
      <c r="B81" s="34" t="s">
        <v>265</v>
      </c>
      <c r="C81" s="34" t="s">
        <v>271</v>
      </c>
      <c r="D81" s="34" t="s">
        <v>278</v>
      </c>
      <c r="E81" s="34" t="s">
        <v>280</v>
      </c>
      <c r="F81" s="37"/>
      <c r="G81" s="36" t="s">
        <v>274</v>
      </c>
    </row>
    <row r="82">
      <c r="B82" s="34" t="s">
        <v>265</v>
      </c>
      <c r="C82" s="34" t="s">
        <v>271</v>
      </c>
      <c r="D82" s="34" t="s">
        <v>278</v>
      </c>
      <c r="E82" s="34" t="s">
        <v>281</v>
      </c>
      <c r="F82" s="37"/>
      <c r="G82" s="36" t="s">
        <v>274</v>
      </c>
    </row>
    <row r="83">
      <c r="B83" s="34" t="s">
        <v>265</v>
      </c>
      <c r="C83" s="34" t="s">
        <v>271</v>
      </c>
      <c r="D83" s="34" t="s">
        <v>278</v>
      </c>
      <c r="E83" s="34" t="s">
        <v>282</v>
      </c>
      <c r="F83" s="37"/>
      <c r="G83" s="36" t="s">
        <v>274</v>
      </c>
    </row>
    <row r="84">
      <c r="B84" s="34" t="s">
        <v>265</v>
      </c>
      <c r="C84" s="34" t="s">
        <v>271</v>
      </c>
      <c r="D84" s="34" t="s">
        <v>278</v>
      </c>
      <c r="E84" s="34" t="s">
        <v>283</v>
      </c>
      <c r="F84" s="37"/>
      <c r="G84" s="44"/>
    </row>
    <row r="85">
      <c r="B85" s="34" t="s">
        <v>265</v>
      </c>
      <c r="C85" s="34" t="s">
        <v>271</v>
      </c>
      <c r="D85" s="34" t="s">
        <v>278</v>
      </c>
      <c r="E85" s="34" t="s">
        <v>284</v>
      </c>
      <c r="F85" s="37"/>
      <c r="G85" s="36" t="s">
        <v>274</v>
      </c>
    </row>
    <row r="86">
      <c r="B86" s="34" t="s">
        <v>265</v>
      </c>
      <c r="C86" s="34" t="s">
        <v>271</v>
      </c>
      <c r="D86" s="34" t="s">
        <v>278</v>
      </c>
      <c r="E86" s="34" t="s">
        <v>285</v>
      </c>
      <c r="F86" s="37"/>
      <c r="G86" s="36" t="s">
        <v>274</v>
      </c>
    </row>
    <row r="87">
      <c r="F87" s="27"/>
      <c r="G87" s="27"/>
    </row>
    <row r="88">
      <c r="F88" s="27"/>
      <c r="G88" s="27"/>
    </row>
    <row r="89">
      <c r="F89" s="27"/>
      <c r="G89" s="27"/>
    </row>
    <row r="90">
      <c r="F90" s="27"/>
      <c r="G90" s="27"/>
    </row>
    <row r="91">
      <c r="F91" s="27"/>
      <c r="G91" s="27"/>
    </row>
    <row r="92">
      <c r="F92" s="27"/>
      <c r="G92" s="27"/>
    </row>
    <row r="93">
      <c r="F93" s="27"/>
      <c r="G93" s="27"/>
    </row>
    <row r="94">
      <c r="F94" s="27"/>
      <c r="G94" s="27"/>
    </row>
    <row r="95">
      <c r="F95" s="27"/>
      <c r="G95" s="27"/>
    </row>
    <row r="96">
      <c r="F96" s="27"/>
      <c r="G96" s="27"/>
    </row>
    <row r="97">
      <c r="F97" s="27"/>
      <c r="G97" s="27"/>
    </row>
    <row r="98">
      <c r="F98" s="27"/>
      <c r="G98" s="27"/>
    </row>
    <row r="99">
      <c r="F99" s="27"/>
      <c r="G99" s="27"/>
    </row>
    <row r="100">
      <c r="F100" s="27"/>
      <c r="G100" s="27"/>
    </row>
    <row r="101">
      <c r="F101" s="27"/>
      <c r="G101" s="27"/>
    </row>
    <row r="102">
      <c r="F102" s="27"/>
      <c r="G102" s="27"/>
    </row>
    <row r="103">
      <c r="F103" s="27"/>
      <c r="G103" s="27"/>
    </row>
  </sheetData>
  <mergeCells count="6">
    <mergeCell ref="B1:G1"/>
    <mergeCell ref="C3:G3"/>
    <mergeCell ref="C4:G4"/>
    <mergeCell ref="B5:G5"/>
    <mergeCell ref="B6:G6"/>
    <mergeCell ref="B9:E9"/>
  </mergeCells>
  <dataValidations>
    <dataValidation type="list" allowBlank="1" showErrorMessage="1" sqref="G11:G103">
      <formula1>Refentes!$C$35:$G$44</formula1>
    </dataValidation>
    <dataValidation type="list" allowBlank="1" showErrorMessage="1" sqref="F11:F103">
      <formula1>Refentes!$C$15:$G$24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2" t="s">
        <v>8</v>
      </c>
      <c r="C1" s="3"/>
      <c r="D1" s="3"/>
      <c r="E1" s="3"/>
      <c r="F1" s="3"/>
      <c r="G1" s="4"/>
    </row>
    <row r="2">
      <c r="B2" s="1"/>
      <c r="C2" s="1"/>
      <c r="D2" s="1"/>
      <c r="E2" s="1"/>
      <c r="F2" s="1"/>
      <c r="G2" s="1"/>
    </row>
    <row r="3">
      <c r="B3" s="7" t="s">
        <v>54</v>
      </c>
      <c r="C3" s="8" t="str">
        <f>Refentes!C3</f>
        <v>771 - Introducción a la Programación y Computación 2</v>
      </c>
      <c r="D3" s="10"/>
      <c r="E3" s="10"/>
      <c r="F3" s="10"/>
      <c r="G3" s="11"/>
    </row>
    <row r="4">
      <c r="B4" s="7" t="s">
        <v>82</v>
      </c>
      <c r="C4" s="12" t="str">
        <f>Refentes!C4</f>
        <v>Segundo Semestre 2026</v>
      </c>
      <c r="D4" s="10"/>
      <c r="E4" s="10"/>
      <c r="F4" s="10"/>
      <c r="G4" s="11"/>
    </row>
    <row r="5">
      <c r="B5" s="15" t="s">
        <v>88</v>
      </c>
    </row>
    <row r="7">
      <c r="B7" s="17" t="s">
        <v>90</v>
      </c>
      <c r="E7" s="19" t="s">
        <v>92</v>
      </c>
    </row>
    <row r="8">
      <c r="B8" s="20" t="s">
        <v>94</v>
      </c>
      <c r="E8" s="22" t="s">
        <v>97</v>
      </c>
    </row>
    <row r="9">
      <c r="B9" s="20" t="s">
        <v>99</v>
      </c>
      <c r="E9" s="22" t="s">
        <v>100</v>
      </c>
    </row>
    <row r="10">
      <c r="B10" s="20" t="s">
        <v>102</v>
      </c>
      <c r="E10" s="22" t="s">
        <v>105</v>
      </c>
    </row>
    <row r="11">
      <c r="B11" s="20" t="s">
        <v>106</v>
      </c>
      <c r="E11" s="22" t="s">
        <v>107</v>
      </c>
    </row>
    <row r="12">
      <c r="B12" s="20" t="s">
        <v>108</v>
      </c>
      <c r="E12" s="22" t="s">
        <v>110</v>
      </c>
    </row>
    <row r="13">
      <c r="B13" s="20" t="s">
        <v>111</v>
      </c>
      <c r="E13" s="22" t="s">
        <v>112</v>
      </c>
    </row>
    <row r="14">
      <c r="B14" s="20" t="s">
        <v>114</v>
      </c>
      <c r="E14" s="22" t="s">
        <v>115</v>
      </c>
    </row>
    <row r="15">
      <c r="E15" s="22"/>
    </row>
    <row r="16">
      <c r="E16" s="27"/>
    </row>
    <row r="18">
      <c r="B18" s="28" t="s">
        <v>118</v>
      </c>
    </row>
  </sheetData>
  <mergeCells count="24">
    <mergeCell ref="E9:G9"/>
    <mergeCell ref="E10:G10"/>
    <mergeCell ref="E11:G11"/>
    <mergeCell ref="E12:G12"/>
    <mergeCell ref="E13:G13"/>
    <mergeCell ref="E14:G14"/>
    <mergeCell ref="E15:G15"/>
    <mergeCell ref="E16:G16"/>
    <mergeCell ref="B1:G1"/>
    <mergeCell ref="C3:G3"/>
    <mergeCell ref="C4:G4"/>
    <mergeCell ref="B5:G5"/>
    <mergeCell ref="B7:D7"/>
    <mergeCell ref="E7:G7"/>
    <mergeCell ref="E8:G8"/>
    <mergeCell ref="B15:D15"/>
    <mergeCell ref="B16:D16"/>
    <mergeCell ref="B8:D8"/>
    <mergeCell ref="B9:D9"/>
    <mergeCell ref="B10:D10"/>
    <mergeCell ref="B11:D11"/>
    <mergeCell ref="B12:D12"/>
    <mergeCell ref="B13:D13"/>
    <mergeCell ref="B14:D14"/>
  </mergeCells>
  <dataValidations>
    <dataValidation type="list" allowBlank="1" showErrorMessage="1" sqref="E8:E16">
      <formula1>Refentes!$C$50:$G$59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9</v>
      </c>
    </row>
    <row r="10">
      <c r="A10" s="1" t="s">
        <v>10</v>
      </c>
    </row>
    <row r="11">
      <c r="A11" s="1" t="s">
        <v>11</v>
      </c>
    </row>
    <row r="12">
      <c r="A12" s="1" t="s">
        <v>12</v>
      </c>
    </row>
    <row r="13">
      <c r="A13" s="1" t="s">
        <v>13</v>
      </c>
    </row>
    <row r="14">
      <c r="A14" s="1" t="s">
        <v>14</v>
      </c>
    </row>
    <row r="15">
      <c r="A15" s="1" t="s">
        <v>15</v>
      </c>
    </row>
    <row r="16">
      <c r="A16" s="1" t="s">
        <v>16</v>
      </c>
    </row>
    <row r="17">
      <c r="A17" s="1" t="s">
        <v>17</v>
      </c>
    </row>
    <row r="18">
      <c r="A18" s="1" t="s">
        <v>18</v>
      </c>
    </row>
    <row r="19">
      <c r="A19" s="1" t="s">
        <v>19</v>
      </c>
    </row>
    <row r="20">
      <c r="A20" s="1" t="s">
        <v>20</v>
      </c>
    </row>
    <row r="21">
      <c r="A21" s="1" t="s">
        <v>21</v>
      </c>
    </row>
    <row r="22">
      <c r="A22" s="1" t="s">
        <v>22</v>
      </c>
    </row>
    <row r="23">
      <c r="A23" s="1" t="s">
        <v>23</v>
      </c>
    </row>
    <row r="24">
      <c r="A24" s="1" t="s">
        <v>24</v>
      </c>
    </row>
    <row r="25">
      <c r="A25" s="1" t="s">
        <v>25</v>
      </c>
    </row>
    <row r="26">
      <c r="A26" s="1" t="s">
        <v>26</v>
      </c>
    </row>
    <row r="27">
      <c r="A27" s="1" t="s">
        <v>27</v>
      </c>
    </row>
    <row r="28">
      <c r="A28" s="1" t="s">
        <v>28</v>
      </c>
    </row>
    <row r="29">
      <c r="A29" s="1" t="s">
        <v>29</v>
      </c>
    </row>
    <row r="30">
      <c r="A30" s="1" t="s">
        <v>30</v>
      </c>
    </row>
    <row r="31">
      <c r="A31" s="1" t="s">
        <v>31</v>
      </c>
    </row>
    <row r="32">
      <c r="A32" s="1" t="s">
        <v>32</v>
      </c>
    </row>
    <row r="33">
      <c r="A33" s="1" t="s">
        <v>33</v>
      </c>
    </row>
    <row r="34">
      <c r="A34" s="1" t="s">
        <v>34</v>
      </c>
    </row>
    <row r="35">
      <c r="A35" s="1" t="s">
        <v>36</v>
      </c>
    </row>
    <row r="36">
      <c r="A36" s="1" t="s">
        <v>37</v>
      </c>
    </row>
    <row r="37">
      <c r="A37" s="1" t="s">
        <v>38</v>
      </c>
    </row>
    <row r="38">
      <c r="A38" s="1" t="s">
        <v>39</v>
      </c>
    </row>
    <row r="39">
      <c r="A39" s="1" t="s">
        <v>40</v>
      </c>
    </row>
    <row r="40">
      <c r="A40" s="1" t="s">
        <v>41</v>
      </c>
    </row>
    <row r="41">
      <c r="A41" s="1" t="s">
        <v>42</v>
      </c>
    </row>
    <row r="42">
      <c r="A42" s="1" t="s">
        <v>43</v>
      </c>
    </row>
    <row r="43">
      <c r="A43" s="1" t="s">
        <v>44</v>
      </c>
    </row>
    <row r="44">
      <c r="A44" s="1" t="s">
        <v>45</v>
      </c>
    </row>
    <row r="45">
      <c r="A45" s="1" t="s">
        <v>46</v>
      </c>
    </row>
    <row r="46">
      <c r="A46" s="1" t="s">
        <v>47</v>
      </c>
    </row>
    <row r="47">
      <c r="A47" s="1" t="s">
        <v>48</v>
      </c>
    </row>
    <row r="48">
      <c r="A48" s="1" t="s">
        <v>49</v>
      </c>
    </row>
    <row r="49">
      <c r="A49" s="1" t="s">
        <v>50</v>
      </c>
    </row>
    <row r="50">
      <c r="A50" s="1" t="s">
        <v>51</v>
      </c>
    </row>
    <row r="51">
      <c r="A51" s="1" t="s">
        <v>52</v>
      </c>
    </row>
    <row r="52">
      <c r="A52" s="1" t="s">
        <v>53</v>
      </c>
    </row>
    <row r="53">
      <c r="A53" s="1" t="s">
        <v>55</v>
      </c>
    </row>
    <row r="54">
      <c r="A54" s="1" t="s">
        <v>56</v>
      </c>
    </row>
    <row r="55">
      <c r="A55" s="1" t="s">
        <v>57</v>
      </c>
    </row>
    <row r="56">
      <c r="A56" s="1" t="s">
        <v>58</v>
      </c>
    </row>
    <row r="57">
      <c r="A57" s="1" t="s">
        <v>59</v>
      </c>
    </row>
    <row r="58">
      <c r="A58" s="1" t="s">
        <v>60</v>
      </c>
    </row>
    <row r="59">
      <c r="A59" s="1" t="s">
        <v>61</v>
      </c>
    </row>
    <row r="60">
      <c r="A60" s="1" t="s">
        <v>62</v>
      </c>
    </row>
    <row r="61">
      <c r="A61" s="1" t="s">
        <v>63</v>
      </c>
    </row>
    <row r="62">
      <c r="A62" s="1" t="s">
        <v>64</v>
      </c>
    </row>
    <row r="63">
      <c r="A63" s="1" t="s">
        <v>65</v>
      </c>
    </row>
    <row r="64">
      <c r="A64" s="1" t="s">
        <v>66</v>
      </c>
    </row>
    <row r="65">
      <c r="A65" s="1" t="s">
        <v>67</v>
      </c>
    </row>
    <row r="66">
      <c r="A66" s="1" t="s">
        <v>68</v>
      </c>
    </row>
    <row r="67">
      <c r="A67" s="1" t="s">
        <v>69</v>
      </c>
    </row>
    <row r="68">
      <c r="A68" s="1" t="s">
        <v>70</v>
      </c>
    </row>
    <row r="69">
      <c r="A69" s="1" t="s">
        <v>71</v>
      </c>
    </row>
    <row r="70">
      <c r="A70" s="1" t="s">
        <v>72</v>
      </c>
    </row>
    <row r="71">
      <c r="A71" s="1" t="s">
        <v>73</v>
      </c>
    </row>
    <row r="72">
      <c r="A72" s="1" t="s">
        <v>74</v>
      </c>
    </row>
    <row r="73">
      <c r="A73" s="1" t="s">
        <v>75</v>
      </c>
    </row>
    <row r="74">
      <c r="A74" s="1" t="s">
        <v>76</v>
      </c>
    </row>
    <row r="75">
      <c r="A75" s="1" t="s">
        <v>77</v>
      </c>
    </row>
    <row r="76">
      <c r="A76" s="1" t="s">
        <v>78</v>
      </c>
    </row>
    <row r="77">
      <c r="A77" s="1" t="s">
        <v>79</v>
      </c>
    </row>
    <row r="78">
      <c r="A78" s="1" t="s">
        <v>80</v>
      </c>
    </row>
    <row r="79">
      <c r="A79" s="1" t="s">
        <v>81</v>
      </c>
    </row>
    <row r="80">
      <c r="A80" s="1" t="s">
        <v>83</v>
      </c>
    </row>
    <row r="81">
      <c r="A81" s="1" t="s">
        <v>84</v>
      </c>
    </row>
  </sheetData>
  <drawing r:id="rId1"/>
</worksheet>
</file>