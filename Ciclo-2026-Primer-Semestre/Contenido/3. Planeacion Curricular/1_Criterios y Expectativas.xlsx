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rlon_Prez" sheetId="1" r:id="rId5"/>
    <sheet state="visible" name="Docente_Claudia_Rojas" sheetId="2" r:id="rId6"/>
    <sheet state="visible" name="Docente_Jose_Ruiz" sheetId="3" r:id="rId7"/>
    <sheet state="visible" name="Docente_Dennis_Barrios" sheetId="4" r:id="rId8"/>
    <sheet state="visible" name="Docente_Edwin_Zapeta" sheetId="5" r:id="rId9"/>
    <sheet state="visible" name="Docente_Fernando_Paz" sheetId="6" r:id="rId10"/>
    <sheet state="visible" name="CoordinadorAcademico" sheetId="7" r:id="rId11"/>
  </sheets>
  <definedNames/>
  <calcPr/>
</workbook>
</file>

<file path=xl/sharedStrings.xml><?xml version="1.0" encoding="utf-8"?>
<sst xmlns="http://schemas.openxmlformats.org/spreadsheetml/2006/main" count="467" uniqueCount="64">
  <si>
    <t>Criterios y Expectativas del Docente para el Segundo Semestre 2026</t>
  </si>
  <si>
    <t>Nombre del Curso</t>
  </si>
  <si>
    <t>Introducción a la Programación y Computación 2</t>
  </si>
  <si>
    <t>Docente</t>
  </si>
  <si>
    <t>Jose Manuel Ruiz Juarez</t>
  </si>
  <si>
    <t>Marlon Antonio Pérez Türk</t>
  </si>
  <si>
    <t>1. Criterios Tecnicos y Metodologicos</t>
  </si>
  <si>
    <t>Claudia Liceth Rojas Morales</t>
  </si>
  <si>
    <t>En esta sección se busca recopilar información clave sobre los elementos técnicos y metodológicos que el laboratorio debe incluir.</t>
  </si>
  <si>
    <t>1.1 Tecnologias y Herramientas</t>
  </si>
  <si>
    <t>Dennis Stanley Barrios Gonzalez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</si>
  <si>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</si>
  <si>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</si>
  <si>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</si>
  <si>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</si>
  <si>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</si>
  <si>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</si>
  <si>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</si>
  <si>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</si>
  <si>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</si>
  <si>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</si>
  <si>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</si>
  <si>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</si>
  <si>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</si>
  <si>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</si>
  <si>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</si>
  <si>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</si>
  <si>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</si>
  <si>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</si>
  <si>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</si>
  <si>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</si>
  <si>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</si>
  <si>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</si>
  <si>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</si>
  <si>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</si>
  <si>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</si>
  <si>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</si>
  <si>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</si>
  <si>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</si>
  <si>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</si>
  <si>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</si>
  <si>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</si>
  <si>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</si>
  <si>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</si>
  <si>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</si>
  <si>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Fernando José Paz González</t>
  </si>
  <si>
    <t>Edwin Estuardo Zapeta Gómez</t>
  </si>
  <si>
    <t>Coordinador</t>
  </si>
  <si>
    <t>Marlon Francisco Orellana Lopez</t>
  </si>
  <si>
    <t>Herramientas de Desarrollo</t>
  </si>
  <si>
    <t>Lenguaje de Programación | Python | Librería | Pandas</t>
  </si>
  <si>
    <t>Infraestructura | Git | DevOps | CI/CD</t>
  </si>
  <si>
    <t>Gestion</t>
  </si>
  <si>
    <t>Herramienta | Microsoft Project | Tipo | Planificación</t>
  </si>
  <si>
    <t>Herramienta | Draw.io | Tipo | Diagramación</t>
  </si>
  <si>
    <t>Metodología</t>
  </si>
  <si>
    <t>Metodología | Scrum | Herramienta | Jira</t>
  </si>
  <si>
    <t>El propósito del laboratorio es fortalecer la abstracción y pensamiento lógico.</t>
  </si>
  <si>
    <t>Experiencia en varios lenguajes de programación (interpretado, compilado), así como dominio en estructura de datos, versionamiento y aseguramiento de la calidad del software.</t>
  </si>
  <si>
    <t>Abstracción, pensamiento computacional, metodologías de desarrollo de software y buenas prácticas de versionamiento y aseguramiento de la calidad del software.</t>
  </si>
  <si>
    <t>diseña y desarrolla</t>
  </si>
  <si>
    <t>aplicaciones de software</t>
  </si>
  <si>
    <t>mediante</t>
  </si>
  <si>
    <t>estándares de calidad y buenas prácticas de
programación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</si>
</sst>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4" fillId="2" fontId="10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5" fillId="2" fontId="7" numFmtId="0" xfId="0" applyAlignment="1" applyBorder="1" applyFill="1" applyFont="1">
      <alignment horizontal="center" shrinkToFit="0" vertical="center" wrapText="1"/>
    </xf>
    <xf borderId="6" fillId="2" fontId="9" numFmtId="0" xfId="0" applyAlignment="1" applyBorder="1" applyFill="1" applyFont="1">
      <alignment horizontal="center" shrinkToFit="0" vertical="center" wrapText="1"/>
    </xf>
    <xf borderId="6" fillId="2" fontId="9" numFmtId="0" xfId="0" applyBorder="1" applyFill="1" applyFont="1"/>
    <xf borderId="5" fillId="2" fontId="9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ill="1" applyFont="1">
      <alignment horizontal="left" shrinkToFit="0" vertical="top" wrapText="1"/>
    </xf>
    <xf borderId="7" fillId="2" fontId="3" numFmtId="0" xfId="0" applyAlignment="1" applyBorder="1" applyFill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ill="1" applyFont="1">
      <alignment horizontal="center" shrinkToFit="0" vertical="bottom" wrapText="1"/>
    </xf>
    <xf borderId="4" fillId="5" fontId="7" numFmtId="0" xfId="0" applyAlignment="1" applyBorder="1" applyFill="1" applyFont="1">
      <alignment shrinkToFit="0" vertical="bottom" wrapText="1"/>
    </xf>
    <xf borderId="1" fillId="6" fontId="7" numFmtId="0" xfId="0" applyAlignment="1" applyBorder="1" applyFill="1" applyFont="1">
      <alignment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1" fillId="8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9" numFmtId="0" xfId="0" applyFont="1"/>
    <xf borderId="0" fillId="0" fontId="7" numFmtId="0" xfId="0" applyFont="1"/>
    <xf borderId="4" fillId="3" fontId="7" numFmtId="0" xfId="0" applyAlignment="1" applyBorder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center" readingOrder="0" vertical="center"/>
    </xf>
    <xf borderId="1" fillId="3" fontId="12" numFmtId="0" xfId="0" applyAlignment="1" applyBorder="1" applyFill="1" applyFont="1">
      <alignment horizontal="left" readingOrder="0" shrinkToFit="0" vertical="top" wrapText="1"/>
    </xf>
    <xf borderId="4" fillId="5" fontId="7" numFmtId="0" xfId="0" applyAlignment="1" applyBorder="1" applyFill="1" applyFont="1">
      <alignment readingOrder="0" shrinkToFit="0" vertical="bottom" wrapText="1"/>
    </xf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7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10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46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38" t="s">
        <v>49</v>
      </c>
      <c r="D13" s="39" t="s">
        <v>50</v>
      </c>
      <c r="E13" s="8"/>
      <c r="F13" s="8"/>
      <c r="G13" s="9"/>
    </row>
    <row r="14">
      <c r="B14" s="12">
        <v>2.0</v>
      </c>
      <c r="C14" s="38" t="s">
        <v>16</v>
      </c>
      <c r="D14" s="39" t="s">
        <v>51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38">
        <v>1.0</v>
      </c>
      <c r="C19" s="38" t="s">
        <v>52</v>
      </c>
      <c r="D19" s="39" t="s">
        <v>53</v>
      </c>
      <c r="E19" s="8"/>
      <c r="F19" s="8"/>
      <c r="G19" s="9"/>
    </row>
    <row r="20">
      <c r="B20" s="38">
        <v>2.0</v>
      </c>
      <c r="C20" s="38" t="s">
        <v>52</v>
      </c>
      <c r="D20" s="39" t="s">
        <v>54</v>
      </c>
      <c r="E20" s="8"/>
      <c r="F20" s="8"/>
      <c r="G20" s="9"/>
    </row>
    <row r="21">
      <c r="B21" s="38">
        <v>3.0</v>
      </c>
      <c r="C21" s="38" t="s">
        <v>55</v>
      </c>
      <c r="D21" s="39" t="s">
        <v>56</v>
      </c>
      <c r="E21" s="8"/>
      <c r="F21" s="8"/>
      <c r="G21" s="9"/>
    </row>
    <row r="22" ht="24.75" customHeight="1">
      <c r="B22" s="38">
        <v>4.0</v>
      </c>
      <c r="C22" s="12" t="s">
        <v>16</v>
      </c>
      <c r="D22" s="13" t="s">
        <v>15</v>
      </c>
      <c r="E22" s="8"/>
      <c r="F22" s="8"/>
      <c r="G22" s="9"/>
    </row>
    <row r="23" ht="15.75" customHeight="1"/>
    <row r="24" ht="15.75" customHeight="1">
      <c r="B24" s="6" t="s">
        <v>18</v>
      </c>
    </row>
    <row r="25" ht="45.0" customHeight="1">
      <c r="B25" s="5" t="s">
        <v>19</v>
      </c>
    </row>
    <row r="26" ht="15.75" customHeight="1"/>
    <row r="27" ht="15.75" customHeight="1">
      <c r="B27" s="14" t="s">
        <v>20</v>
      </c>
      <c r="C27" s="14" t="s">
        <v>21</v>
      </c>
      <c r="D27" s="14" t="s">
        <v>22</v>
      </c>
      <c r="E27" s="15" t="s">
        <v>23</v>
      </c>
      <c r="F27" s="8"/>
      <c r="G27" s="9"/>
      <c r="H27" s="16" t="s">
        <v>24</v>
      </c>
    </row>
    <row r="28" ht="30.0" customHeight="1">
      <c r="B28" s="17" t="s">
        <v>25</v>
      </c>
      <c r="C28" s="40">
        <v>10.0</v>
      </c>
      <c r="D28" s="18" t="s">
        <v>15</v>
      </c>
      <c r="E28" s="19" t="s">
        <v>15</v>
      </c>
      <c r="F28" s="8"/>
      <c r="G28" s="9"/>
      <c r="H28" s="20">
        <v>10.0</v>
      </c>
    </row>
    <row r="29" ht="39.75" customHeight="1">
      <c r="B29" s="17" t="s">
        <v>26</v>
      </c>
      <c r="C29" s="40">
        <v>60.0</v>
      </c>
      <c r="D29" s="18" t="s">
        <v>15</v>
      </c>
      <c r="E29" s="19" t="s">
        <v>15</v>
      </c>
      <c r="F29" s="8"/>
      <c r="G29" s="9"/>
      <c r="H29" s="20">
        <v>60.0</v>
      </c>
    </row>
    <row r="30" ht="39.75" customHeight="1">
      <c r="B30" s="17" t="s">
        <v>27</v>
      </c>
      <c r="C30" s="40">
        <v>20.0</v>
      </c>
      <c r="D30" s="18" t="s">
        <v>15</v>
      </c>
      <c r="E30" s="19" t="s">
        <v>15</v>
      </c>
      <c r="F30" s="8"/>
      <c r="G30" s="9"/>
      <c r="H30" s="20">
        <v>20.0</v>
      </c>
    </row>
    <row r="31" ht="39.75" customHeight="1">
      <c r="B31" s="17" t="s">
        <v>28</v>
      </c>
      <c r="C31" s="40">
        <v>10.0</v>
      </c>
      <c r="D31" s="18" t="s">
        <v>15</v>
      </c>
      <c r="E31" s="19" t="s">
        <v>15</v>
      </c>
      <c r="F31" s="8"/>
      <c r="G31" s="9"/>
      <c r="H31" s="20">
        <v>10.0</v>
      </c>
    </row>
    <row r="32" ht="39.75" customHeight="1">
      <c r="B32" s="21" t="s">
        <v>29</v>
      </c>
      <c r="C32" s="22">
        <f>SUM(C28:C31)</f>
        <v>100</v>
      </c>
      <c r="E32" s="23" t="s">
        <v>30</v>
      </c>
      <c r="F32" s="24" t="str">
        <f>IF(AND(SUM(C28:C31)=100, COUNTIF(C28:C31,"&lt;0")=0, C28&lt;=H28, C29&lt;=H29, C30&lt;=H30, C31&lt;=H31),"✅ Distribución válida","❌ Revisar: " &amp; IF(SUM(C28:C31)&lt;&gt;100, "Total ≠ 100 (actual " &amp; SUM(C28:C31) &amp; ") | ", "") &amp; IF(COUNTIF(C28:C31,"&lt;0")&gt;0, "Hay negativos | ", "") &amp; IF(OR(C28&gt;H28, C29&gt;H29, C30&gt;H30, C31&gt;H31), "Exceden: " &amp; IF(C28&gt;H28, B28 &amp; " (" &amp; C28 &amp; "&gt;" &amp; H28 &amp; ") ", "") &amp; IF(C29&gt;H29, B29 &amp; " (" &amp; C29 &amp; "&gt;" &amp; H29 &amp; ") ", "") &amp; IF(C30&gt;H30, B30 &amp; " (" &amp; C30 &amp; "&gt;" &amp; H30 &amp; ") ", "") &amp; IF(C31&gt;H31, B31 &amp; " (" &amp; C31 &amp; "&gt;" &amp; H31 &amp; ") ", ""),""))</f>
        <v>✅ Distribución válida</v>
      </c>
      <c r="G32" s="25"/>
      <c r="H32" s="26"/>
    </row>
    <row r="33" ht="15.75" customHeight="1"/>
    <row r="34" ht="15.75" customHeight="1">
      <c r="B34" s="4" t="s">
        <v>31</v>
      </c>
    </row>
    <row r="35" ht="34.5" customHeight="1">
      <c r="B35" s="5" t="s">
        <v>32</v>
      </c>
    </row>
    <row r="36" ht="15.75" customHeight="1"/>
    <row r="37" ht="45.0" customHeight="1">
      <c r="B37" s="7" t="s">
        <v>33</v>
      </c>
      <c r="C37" s="8"/>
      <c r="D37" s="8"/>
      <c r="E37" s="8"/>
      <c r="F37" s="8"/>
      <c r="G37" s="9"/>
    </row>
    <row r="38" ht="45.0" customHeight="1">
      <c r="B38" s="41" t="s">
        <v>57</v>
      </c>
      <c r="C38" s="8"/>
      <c r="D38" s="8"/>
      <c r="E38" s="8"/>
      <c r="F38" s="8"/>
      <c r="G38" s="9"/>
    </row>
    <row r="39" ht="15.75" customHeight="1"/>
    <row r="40" ht="45.0" customHeight="1">
      <c r="B40" s="7" t="s">
        <v>34</v>
      </c>
      <c r="C40" s="8"/>
      <c r="D40" s="8"/>
      <c r="E40" s="8"/>
      <c r="F40" s="8"/>
      <c r="G40" s="9"/>
    </row>
    <row r="41" ht="45.0" customHeight="1">
      <c r="B41" s="41" t="s">
        <v>58</v>
      </c>
      <c r="C41" s="8"/>
      <c r="D41" s="8"/>
      <c r="E41" s="8"/>
      <c r="F41" s="8"/>
      <c r="G41" s="9"/>
    </row>
    <row r="42" ht="15.75" customHeight="1"/>
    <row r="43" ht="45.0" customHeight="1">
      <c r="B43" s="7" t="s">
        <v>35</v>
      </c>
      <c r="C43" s="8"/>
      <c r="D43" s="8"/>
      <c r="E43" s="8"/>
      <c r="F43" s="8"/>
      <c r="G43" s="9"/>
    </row>
    <row r="44" ht="45.0" customHeight="1">
      <c r="B44" s="41" t="s">
        <v>59</v>
      </c>
      <c r="C44" s="8"/>
      <c r="D44" s="8"/>
      <c r="E44" s="8"/>
      <c r="F44" s="8"/>
      <c r="G44" s="9"/>
    </row>
    <row r="45" ht="15.75" customHeight="1"/>
    <row r="46" ht="15.75" customHeight="1">
      <c r="B46" s="28" t="str">
        <f>CONCATENATE("El Estudiante ",B48, " ", C48, " ", E48, " ", F48)</f>
        <v>El Estudiante diseña y desarrolla aplicaciones de software mediante estándares de calidad y buenas prácticas de
programación</v>
      </c>
      <c r="C46" s="25"/>
      <c r="D46" s="25"/>
      <c r="E46" s="25"/>
      <c r="F46" s="25"/>
      <c r="G46" s="26"/>
    </row>
    <row r="47" ht="75.75" customHeight="1">
      <c r="B47" s="29" t="s">
        <v>36</v>
      </c>
      <c r="C47" s="30" t="s">
        <v>37</v>
      </c>
      <c r="D47" s="9"/>
      <c r="E47" s="29" t="s">
        <v>38</v>
      </c>
      <c r="F47" s="30" t="s">
        <v>39</v>
      </c>
      <c r="G47" s="9"/>
    </row>
    <row r="48" ht="54.0" customHeight="1">
      <c r="B48" s="42" t="s">
        <v>60</v>
      </c>
      <c r="C48" s="43" t="s">
        <v>61</v>
      </c>
      <c r="D48" s="9"/>
      <c r="E48" s="44" t="s">
        <v>62</v>
      </c>
      <c r="F48" s="45" t="s">
        <v>63</v>
      </c>
      <c r="G48" s="9"/>
    </row>
    <row r="49" ht="15.75" customHeight="1">
      <c r="B49" s="46" t="s">
        <v>41</v>
      </c>
    </row>
    <row r="50" ht="15.75" customHeight="1"/>
    <row r="51" ht="15.75" customHeight="1">
      <c r="B51" s="36" t="s">
        <v>42</v>
      </c>
    </row>
    <row r="52" ht="15.75" customHeight="1">
      <c r="B52" s="37" t="s">
        <v>43</v>
      </c>
    </row>
    <row r="53" ht="15.75" customHeight="1">
      <c r="B53" s="37" t="s">
        <v>44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5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D22:G22"/>
    <mergeCell ref="B25:G25"/>
    <mergeCell ref="E27:G27"/>
    <mergeCell ref="E28:G28"/>
    <mergeCell ref="E29:G29"/>
    <mergeCell ref="E30:G30"/>
    <mergeCell ref="E31:G31"/>
    <mergeCell ref="B44:G44"/>
    <mergeCell ref="B46:G46"/>
    <mergeCell ref="C47:D47"/>
    <mergeCell ref="F47:G47"/>
    <mergeCell ref="C48:D48"/>
    <mergeCell ref="F48:G48"/>
    <mergeCell ref="B49:G49"/>
    <mergeCell ref="F32:H32"/>
    <mergeCell ref="B35:G35"/>
    <mergeCell ref="B37:G37"/>
    <mergeCell ref="B38:G38"/>
    <mergeCell ref="B40:G40"/>
    <mergeCell ref="B41:G41"/>
    <mergeCell ref="B43:G43"/>
  </mergeCells>
  <conditionalFormatting sqref="E32:H32">
    <cfRule type="expression" dxfId="0" priority="1">
      <formula>ISNUMBER(SEARCH("✅",$F$32))</formula>
    </cfRule>
  </conditionalFormatting>
  <conditionalFormatting sqref="E32:H32">
    <cfRule type="expression" dxfId="1" priority="2">
      <formula>ISNUMBER(SEARCH("❌",$F$32))</formula>
    </cfRule>
  </conditionalFormatting>
  <dataValidations>
    <dataValidation type="list" allowBlank="1" sqref="D19:D21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1">
      <formula1>"Gestion,Metodología,Simulación / Ingeniería"</formula1>
    </dataValidation>
  </dataValidations>
  <hyperlinks>
    <hyperlink r:id="rId1" ref="B49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45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47</v>
      </c>
      <c r="C4" s="3" t="s">
        <v>48</v>
      </c>
    </row>
    <row r="6">
      <c r="B6" s="4" t="s">
        <v>6</v>
      </c>
    </row>
    <row r="7" ht="30.0" customHeight="1">
      <c r="B7" s="5" t="s">
        <v>8</v>
      </c>
    </row>
    <row r="9">
      <c r="B9" s="6" t="s">
        <v>9</v>
      </c>
    </row>
    <row r="11" ht="30.0" customHeight="1">
      <c r="B11" s="7" t="s">
        <v>11</v>
      </c>
      <c r="C11" s="8"/>
      <c r="D11" s="8"/>
      <c r="E11" s="8"/>
      <c r="F11" s="8"/>
      <c r="G11" s="9"/>
    </row>
    <row r="12">
      <c r="B12" s="10" t="s">
        <v>12</v>
      </c>
      <c r="C12" s="10" t="s">
        <v>13</v>
      </c>
      <c r="D12" s="11" t="s">
        <v>14</v>
      </c>
      <c r="E12" s="8"/>
      <c r="F12" s="8"/>
      <c r="G12" s="9"/>
    </row>
    <row r="13">
      <c r="B13" s="12">
        <v>1.0</v>
      </c>
      <c r="C13" s="12" t="s">
        <v>15</v>
      </c>
      <c r="D13" s="13" t="s">
        <v>15</v>
      </c>
      <c r="E13" s="8"/>
      <c r="F13" s="8"/>
      <c r="G13" s="9"/>
    </row>
    <row r="14">
      <c r="B14" s="12">
        <v>2.0</v>
      </c>
      <c r="C14" s="12" t="s">
        <v>15</v>
      </c>
      <c r="D14" s="13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3" t="s">
        <v>15</v>
      </c>
      <c r="E15" s="8"/>
      <c r="F15" s="8"/>
      <c r="G15" s="9"/>
    </row>
    <row r="17" ht="33.0" customHeight="1">
      <c r="B17" s="7" t="s">
        <v>17</v>
      </c>
      <c r="C17" s="8"/>
      <c r="D17" s="8"/>
      <c r="E17" s="8"/>
      <c r="F17" s="8"/>
      <c r="G17" s="9"/>
    </row>
    <row r="18">
      <c r="B18" s="10" t="s">
        <v>12</v>
      </c>
      <c r="C18" s="10" t="s">
        <v>13</v>
      </c>
      <c r="D18" s="11" t="s">
        <v>14</v>
      </c>
      <c r="E18" s="8"/>
      <c r="F18" s="8"/>
      <c r="G18" s="9"/>
    </row>
    <row r="19">
      <c r="B19" s="12">
        <v>1.0</v>
      </c>
      <c r="C19" s="12" t="s">
        <v>15</v>
      </c>
      <c r="D19" s="13" t="s">
        <v>15</v>
      </c>
      <c r="E19" s="8"/>
      <c r="F19" s="8"/>
      <c r="G19" s="9"/>
    </row>
    <row r="20">
      <c r="B20" s="12">
        <v>2.0</v>
      </c>
      <c r="C20" s="12" t="s">
        <v>15</v>
      </c>
      <c r="D20" s="13" t="s">
        <v>15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3" t="s">
        <v>15</v>
      </c>
      <c r="E21" s="8"/>
      <c r="F21" s="8"/>
      <c r="G21" s="9"/>
    </row>
    <row r="22" ht="15.75" customHeight="1"/>
    <row r="23" ht="15.75" customHeight="1">
      <c r="B23" s="6" t="s">
        <v>18</v>
      </c>
    </row>
    <row r="24" ht="45.0" customHeight="1">
      <c r="B24" s="5" t="s">
        <v>19</v>
      </c>
    </row>
    <row r="25" ht="15.75" customHeight="1"/>
    <row r="26" ht="15.75" customHeight="1">
      <c r="B26" s="14" t="s">
        <v>20</v>
      </c>
      <c r="C26" s="14" t="s">
        <v>21</v>
      </c>
      <c r="D26" s="14" t="s">
        <v>22</v>
      </c>
      <c r="E26" s="15" t="s">
        <v>23</v>
      </c>
      <c r="F26" s="8"/>
      <c r="G26" s="9"/>
      <c r="H26" s="16" t="s">
        <v>24</v>
      </c>
    </row>
    <row r="27" ht="30.0" customHeight="1">
      <c r="B27" s="17" t="s">
        <v>25</v>
      </c>
      <c r="C27" s="18">
        <v>0.0</v>
      </c>
      <c r="D27" s="18" t="s">
        <v>15</v>
      </c>
      <c r="E27" s="19" t="s">
        <v>15</v>
      </c>
      <c r="F27" s="8"/>
      <c r="G27" s="9"/>
      <c r="H27" s="20">
        <v>10.0</v>
      </c>
    </row>
    <row r="28" ht="39.75" customHeight="1">
      <c r="B28" s="17" t="s">
        <v>26</v>
      </c>
      <c r="C28" s="18">
        <v>0.0</v>
      </c>
      <c r="D28" s="18" t="s">
        <v>15</v>
      </c>
      <c r="E28" s="19" t="s">
        <v>15</v>
      </c>
      <c r="F28" s="8"/>
      <c r="G28" s="9"/>
      <c r="H28" s="20">
        <v>60.0</v>
      </c>
    </row>
    <row r="29" ht="39.75" customHeight="1">
      <c r="B29" s="17" t="s">
        <v>27</v>
      </c>
      <c r="C29" s="18">
        <v>0.0</v>
      </c>
      <c r="D29" s="18" t="s">
        <v>15</v>
      </c>
      <c r="E29" s="19" t="s">
        <v>15</v>
      </c>
      <c r="F29" s="8"/>
      <c r="G29" s="9"/>
      <c r="H29" s="20">
        <v>20.0</v>
      </c>
    </row>
    <row r="30" ht="39.75" customHeight="1">
      <c r="B30" s="17" t="s">
        <v>28</v>
      </c>
      <c r="C30" s="18">
        <v>0.0</v>
      </c>
      <c r="D30" s="18" t="s">
        <v>15</v>
      </c>
      <c r="E30" s="19" t="s">
        <v>15</v>
      </c>
      <c r="F30" s="8"/>
      <c r="G30" s="9"/>
      <c r="H30" s="20">
        <v>10.0</v>
      </c>
    </row>
    <row r="31" ht="39.75" customHeight="1">
      <c r="B31" s="21" t="s">
        <v>29</v>
      </c>
      <c r="C31" s="22">
        <f>SUM(C27:C30)</f>
        <v>0</v>
      </c>
      <c r="E31" s="23" t="s">
        <v>30</v>
      </c>
      <c r="F31" s="24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5"/>
      <c r="H31" s="26"/>
    </row>
    <row r="32" ht="15.75" customHeight="1"/>
    <row r="33" ht="15.75" customHeight="1">
      <c r="B33" s="4" t="s">
        <v>31</v>
      </c>
    </row>
    <row r="34" ht="34.5" customHeight="1">
      <c r="B34" s="5" t="s">
        <v>32</v>
      </c>
    </row>
    <row r="35" ht="15.75" customHeight="1"/>
    <row r="36" ht="45.0" customHeight="1">
      <c r="B36" s="7" t="s">
        <v>33</v>
      </c>
      <c r="C36" s="8"/>
      <c r="D36" s="8"/>
      <c r="E36" s="8"/>
      <c r="F36" s="8"/>
      <c r="G36" s="9"/>
    </row>
    <row r="37" ht="45.0" customHeight="1">
      <c r="B37" s="27"/>
      <c r="C37" s="8"/>
      <c r="D37" s="8"/>
      <c r="E37" s="8"/>
      <c r="F37" s="8"/>
      <c r="G37" s="9"/>
    </row>
    <row r="38" ht="15.75" customHeight="1"/>
    <row r="39" ht="45.0" customHeight="1">
      <c r="B39" s="7" t="s">
        <v>34</v>
      </c>
      <c r="C39" s="8"/>
      <c r="D39" s="8"/>
      <c r="E39" s="8"/>
      <c r="F39" s="8"/>
      <c r="G39" s="9"/>
    </row>
    <row r="40" ht="45.0" customHeight="1">
      <c r="B40" s="27"/>
      <c r="C40" s="8"/>
      <c r="D40" s="8"/>
      <c r="E40" s="8"/>
      <c r="F40" s="8"/>
      <c r="G40" s="9"/>
    </row>
    <row r="41" ht="15.75" customHeight="1"/>
    <row r="42" ht="45.0" customHeight="1">
      <c r="B42" s="7" t="s">
        <v>35</v>
      </c>
      <c r="C42" s="8"/>
      <c r="D42" s="8"/>
      <c r="E42" s="8"/>
      <c r="F42" s="8"/>
      <c r="G42" s="9"/>
    </row>
    <row r="43" ht="45.0" customHeight="1">
      <c r="B43" s="27"/>
      <c r="C43" s="8"/>
      <c r="D43" s="8"/>
      <c r="E43" s="8"/>
      <c r="F43" s="8"/>
      <c r="G43" s="9"/>
    </row>
    <row r="44" ht="15.75" customHeight="1"/>
    <row r="45" ht="15.75" customHeight="1">
      <c r="B45" s="28" t="str">
        <f>CONCATENATE("El Estudiante ",B47, " ", C47, " ", E47, " ", F47)</f>
        <v>El Estudiante ....   </v>
      </c>
      <c r="C45" s="25"/>
      <c r="D45" s="25"/>
      <c r="E45" s="25"/>
      <c r="F45" s="25"/>
      <c r="G45" s="26"/>
    </row>
    <row r="46" ht="75.75" customHeight="1">
      <c r="B46" s="29" t="s">
        <v>36</v>
      </c>
      <c r="C46" s="30" t="s">
        <v>37</v>
      </c>
      <c r="D46" s="9"/>
      <c r="E46" s="29" t="s">
        <v>38</v>
      </c>
      <c r="F46" s="30" t="s">
        <v>39</v>
      </c>
      <c r="G46" s="9"/>
    </row>
    <row r="47" ht="54.0" customHeight="1">
      <c r="B47" s="31" t="s">
        <v>40</v>
      </c>
      <c r="C47" s="32" t="s">
        <v>15</v>
      </c>
      <c r="D47" s="9"/>
      <c r="E47" s="33" t="s">
        <v>15</v>
      </c>
      <c r="F47" s="34" t="s">
        <v>15</v>
      </c>
      <c r="G47" s="9"/>
    </row>
    <row r="48" ht="15.75" customHeight="1">
      <c r="B48" s="35" t="s">
        <v>41</v>
      </c>
    </row>
    <row r="49" ht="15.75" customHeight="1"/>
    <row r="50" ht="15.75" customHeight="1">
      <c r="B50" s="36" t="s">
        <v>42</v>
      </c>
    </row>
    <row r="51" ht="15.75" customHeight="1">
      <c r="B51" s="37" t="s">
        <v>43</v>
      </c>
    </row>
    <row r="52" ht="15.75" customHeight="1">
      <c r="B52" s="37" t="s">
        <v>44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